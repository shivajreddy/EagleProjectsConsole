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09 - TRAINING\Automation Estimating\Model\Documentation\"/>
    </mc:Choice>
  </mc:AlternateContent>
  <xr:revisionPtr revIDLastSave="0" documentId="13_ncr:1_{BFBD916D-7986-49C3-B5B5-E45E317D8893}" xr6:coauthVersionLast="47" xr6:coauthVersionMax="47" xr10:uidLastSave="{00000000-0000-0000-0000-000000000000}"/>
  <bookViews>
    <workbookView xWindow="57390" yWindow="7425" windowWidth="29010" windowHeight="12135" firstSheet="10" activeTab="16" xr2:uid="{00000000-000D-0000-FFFF-FFFF00000000}"/>
  </bookViews>
  <sheets>
    <sheet name="00-CoverPage" sheetId="16" r:id="rId1"/>
    <sheet name="01.EST_Doors" sheetId="11" r:id="rId2"/>
    <sheet name="02.EST_Windows" sheetId="12" r:id="rId3"/>
    <sheet name="03.EST_STUD_Wall Types" sheetId="10" r:id="rId4"/>
    <sheet name="04a.Foundation" sheetId="9" r:id="rId5"/>
    <sheet name="04b.Footing" sheetId="17" r:id="rId6"/>
    <sheet name="05.EST_DryWall" sheetId="8" r:id="rId7"/>
    <sheet name="06A.Trim-Doors-Exterior" sheetId="7" r:id="rId8"/>
    <sheet name="06B.Trim-Doors-Interior" sheetId="6" r:id="rId9"/>
    <sheet name="06C.Trim-Doors-CaseOpening" sheetId="5" r:id="rId10"/>
    <sheet name="06D.Trim-Windows" sheetId="4" r:id="rId11"/>
    <sheet name="06E.Trim-CornerBoard" sheetId="3" r:id="rId12"/>
    <sheet name="07.Roofing" sheetId="2" r:id="rId13"/>
    <sheet name="08a.OSB_Wall" sheetId="13" r:id="rId14"/>
    <sheet name="08b.OSB_Roof" sheetId="18" r:id="rId15"/>
    <sheet name="09.Siding" sheetId="14" r:id="rId16"/>
    <sheet name="10.BaseBoard" sheetId="15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3" l="1"/>
</calcChain>
</file>

<file path=xl/sharedStrings.xml><?xml version="1.0" encoding="utf-8"?>
<sst xmlns="http://schemas.openxmlformats.org/spreadsheetml/2006/main" count="768" uniqueCount="312">
  <si>
    <t>DOORS</t>
  </si>
  <si>
    <t>WINDOWS</t>
  </si>
  <si>
    <t>FOUNDATION</t>
  </si>
  <si>
    <t>DRY WALL</t>
  </si>
  <si>
    <t>WALL TYPES - Based on Stud Size</t>
  </si>
  <si>
    <t>TRIM for Exterior Doors</t>
  </si>
  <si>
    <t>TRIM for Doors-Interior</t>
  </si>
  <si>
    <t>TRIM - Case Opening</t>
  </si>
  <si>
    <t>Trim - Windows</t>
  </si>
  <si>
    <t>Trim - Corner Board</t>
  </si>
  <si>
    <t>Roofing</t>
  </si>
  <si>
    <t>Siding</t>
  </si>
  <si>
    <t>BaseBoard</t>
  </si>
  <si>
    <t>Family and Type</t>
  </si>
  <si>
    <t>Wall Type</t>
  </si>
  <si>
    <t>Length</t>
  </si>
  <si>
    <t>Count</t>
  </si>
  <si>
    <t>Material: Name</t>
  </si>
  <si>
    <t xml:space="preserve"> Area</t>
  </si>
  <si>
    <t>Area (Square)</t>
  </si>
  <si>
    <t>Material: Area</t>
  </si>
  <si>
    <t>Material Name</t>
  </si>
  <si>
    <t>Material Area</t>
  </si>
  <si>
    <t>Type</t>
  </si>
  <si>
    <t>Width</t>
  </si>
  <si>
    <t>Height</t>
  </si>
  <si>
    <t>Length of Trim</t>
  </si>
  <si>
    <t>No of Sticks for Width</t>
  </si>
  <si>
    <t>No of Sticks for Legs</t>
  </si>
  <si>
    <t>Exterior / Interior</t>
  </si>
  <si>
    <t>Door Type</t>
  </si>
  <si>
    <t>Stud Size</t>
  </si>
  <si>
    <t>Door Pan</t>
  </si>
  <si>
    <t>Window Type</t>
  </si>
  <si>
    <t>Value</t>
  </si>
  <si>
    <t>Name</t>
  </si>
  <si>
    <t>OWNER</t>
  </si>
  <si>
    <t>Estimate Created By</t>
  </si>
  <si>
    <t>Estimate Generated Time</t>
  </si>
  <si>
    <t>LIVING SPACE SQFT - AS DESIGNED</t>
  </si>
  <si>
    <t>Baseboard Sides</t>
  </si>
  <si>
    <t>Length of Baseboards</t>
  </si>
  <si>
    <t>Window Temepered Style</t>
  </si>
  <si>
    <t>Sales Consultant</t>
  </si>
  <si>
    <t>Design Consultant</t>
  </si>
  <si>
    <t>OSB/Sheathing - Wall</t>
  </si>
  <si>
    <t>FOOTING</t>
  </si>
  <si>
    <t>OSB/Sheathing - Roof</t>
  </si>
  <si>
    <t>No. Boards</t>
  </si>
  <si>
    <t>No. Boards (4' x 8')</t>
  </si>
  <si>
    <t>No.16' Baseboard</t>
  </si>
  <si>
    <t>SF - AS DESIGNED - FIRST FLOOR</t>
  </si>
  <si>
    <t>SF - AS DESIGNED - SECOND FLOOR</t>
  </si>
  <si>
    <t>SF - AS DESIGNED - THIRD FLOOR</t>
  </si>
  <si>
    <t>SF - AS DESIGNED - TOTAL FIN</t>
  </si>
  <si>
    <t>SF - AS DESIGNED - BASEMENT</t>
  </si>
  <si>
    <t>SF - AS DESIGNED - UNFINISHED</t>
  </si>
  <si>
    <t>SF - STD - UNFINISHED</t>
  </si>
  <si>
    <t>Eagle Project Name</t>
  </si>
  <si>
    <t>Elevation Type</t>
  </si>
  <si>
    <t>Lot Number</t>
  </si>
  <si>
    <t>Lot Code</t>
  </si>
  <si>
    <t>Neighborhood</t>
  </si>
  <si>
    <t>County</t>
  </si>
  <si>
    <t>State</t>
  </si>
  <si>
    <t>E Cutsheet Revision Date</t>
  </si>
  <si>
    <t>Drawn By</t>
  </si>
  <si>
    <t>Family</t>
  </si>
  <si>
    <t>Footings_Spread_Rectangular_Mod OTB</t>
  </si>
  <si>
    <t>Footings_Spread_Rectangular_Mod OTB: Structural_Foundations_Spread_8" x 24" x 12"</t>
  </si>
  <si>
    <t>16' - 0"</t>
  </si>
  <si>
    <t>Footings_Spread_Rectangular_Mod OTB: Structural_Foundations_Spread_24" x 24" x 12"</t>
  </si>
  <si>
    <t>8' - 0"</t>
  </si>
  <si>
    <t>Footings_Spread_Rectangular_Mod OTB: Structural_Foundations_Spread_30" x 30" x 12"</t>
  </si>
  <si>
    <t>12' - 6"</t>
  </si>
  <si>
    <t>36' - 6"</t>
  </si>
  <si>
    <t>Wall Foundation</t>
  </si>
  <si>
    <t>Wall Foundation: A1010_SpreadFooting_CIP Conc_1'6"x10"</t>
  </si>
  <si>
    <t>219' - 6"</t>
  </si>
  <si>
    <t>Wall Foundation: A1010_SpreadFooting_CIP Conc_1'8"x10"</t>
  </si>
  <si>
    <t>16' - 6"</t>
  </si>
  <si>
    <t>Wall Foundation: A1010_SpreadFooting_CIP Conc_1'10"x10"</t>
  </si>
  <si>
    <t>39' - 9"</t>
  </si>
  <si>
    <t>275' - 9"</t>
  </si>
  <si>
    <t>No.Of Boards (4'x8')</t>
  </si>
  <si>
    <t>Basic Roof: RF-GB-1001_5'8"_APS--OSB</t>
  </si>
  <si>
    <t>CN_SID_Exterior Sheathing_4'w x 8'h x1/2"t</t>
  </si>
  <si>
    <t>254.57 SF</t>
  </si>
  <si>
    <t>2792.33 SF</t>
  </si>
  <si>
    <t>186.40 SF</t>
  </si>
  <si>
    <t>454.71 SF</t>
  </si>
  <si>
    <t>3.47 SF</t>
  </si>
  <si>
    <t>3.14 SF</t>
  </si>
  <si>
    <t>Basic Roof: RF-GB-1001_7/16"--OSB</t>
  </si>
  <si>
    <t>302.54 SF</t>
  </si>
  <si>
    <t>130.11 SF</t>
  </si>
  <si>
    <t>56.73 SF</t>
  </si>
  <si>
    <t>Grand total: 11</t>
  </si>
  <si>
    <t>4190.60 SF</t>
  </si>
  <si>
    <t>sreddy</t>
  </si>
  <si>
    <t>CORVALLIS</t>
  </si>
  <si>
    <t>TRADITIONAL</t>
  </si>
  <si>
    <t>LOT 3</t>
  </si>
  <si>
    <t>LOT-003-04-PV</t>
  </si>
  <si>
    <t>PARKSIDE VILLAGE</t>
  </si>
  <si>
    <t>GOOCHLAND</t>
  </si>
  <si>
    <t>VA</t>
  </si>
  <si>
    <t>C. ZOBEL</t>
  </si>
  <si>
    <t>Basic Wall: W-DBL_GWB-WDF4-WDF4--GWB_4"</t>
  </si>
  <si>
    <t>Interior_DBL</t>
  </si>
  <si>
    <t>18' - 7 15/16"</t>
  </si>
  <si>
    <t>37' - 3 7/8"</t>
  </si>
  <si>
    <t>Basic Wall: W-E_HVS-ESH--WSF4-INS15--DW_5"</t>
  </si>
  <si>
    <t>Exterior</t>
  </si>
  <si>
    <t>195' - 5 3/4"</t>
  </si>
  <si>
    <t>Basic Wall: W-P_GWB--WDF4--GWB_4 1/2"</t>
  </si>
  <si>
    <t>Interior</t>
  </si>
  <si>
    <t>236' - 3 13/32"</t>
  </si>
  <si>
    <t>472' - 6 13/16"</t>
  </si>
  <si>
    <t>Grand total: 40</t>
  </si>
  <si>
    <t>450' - 5 3/32"</t>
  </si>
  <si>
    <t>705' - 4 7/16"</t>
  </si>
  <si>
    <t>CN_SID_Vinyl_0.042"_Horizontal</t>
  </si>
  <si>
    <t>1547.39 SF</t>
  </si>
  <si>
    <t>Basic Wall: W-E_HVS-ESH--WSF4-INS15_4 1/2"</t>
  </si>
  <si>
    <t>Exterior Unfinished</t>
  </si>
  <si>
    <t>56.72 SF</t>
  </si>
  <si>
    <t>Basic Wall: W-E_HVS-ESH--WSF4-INS15_4 1/2" 2NO STUDS</t>
  </si>
  <si>
    <t>582.74 SF</t>
  </si>
  <si>
    <t>Basic Wall: W-E_HVS-ESH--WSF4-WSF4-INS15--DW_8 1/2"</t>
  </si>
  <si>
    <t>Garage Exterior</t>
  </si>
  <si>
    <t>40.07 SF</t>
  </si>
  <si>
    <t>Basic Wall: W-Gable-E_HVS-ESH-1"</t>
  </si>
  <si>
    <t>Gable Wall</t>
  </si>
  <si>
    <t>858.03 SF</t>
  </si>
  <si>
    <t>Basic Wall: W-GAR-E_HVS-ESH--WSF4-INS15--DW_5"</t>
  </si>
  <si>
    <t>450.87 SF</t>
  </si>
  <si>
    <t>Grand total: 18</t>
  </si>
  <si>
    <t>3535.82 SF</t>
  </si>
  <si>
    <t>Top Constraint</t>
  </si>
  <si>
    <t>Unconnected Height</t>
  </si>
  <si>
    <t>Size Of Board</t>
  </si>
  <si>
    <t>BoardArea</t>
  </si>
  <si>
    <t>No Of Boards</t>
  </si>
  <si>
    <t>Final Boards</t>
  </si>
  <si>
    <t>Up to level: Second Floor - T.o.P.</t>
  </si>
  <si>
    <t>9' - 1"</t>
  </si>
  <si>
    <t>4x9</t>
  </si>
  <si>
    <t>276.59 SF</t>
  </si>
  <si>
    <t>33.50 SF</t>
  </si>
  <si>
    <t>582.64 SF</t>
  </si>
  <si>
    <t>161.24 SF</t>
  </si>
  <si>
    <t>80.88 SF</t>
  </si>
  <si>
    <t>Up to level: First Floor - T.o.P.</t>
  </si>
  <si>
    <t>9' - 1 1/8"</t>
  </si>
  <si>
    <t>364.67 SF</t>
  </si>
  <si>
    <t>121.00 SF</t>
  </si>
  <si>
    <t>28.95 SF</t>
  </si>
  <si>
    <t>46.97 SF</t>
  </si>
  <si>
    <t>114.83 SF</t>
  </si>
  <si>
    <t>455.66 SF</t>
  </si>
  <si>
    <t>139.77 SF</t>
  </si>
  <si>
    <t>10' - 1"</t>
  </si>
  <si>
    <t>4x10</t>
  </si>
  <si>
    <t>169.00 SF</t>
  </si>
  <si>
    <t>70.54 SF</t>
  </si>
  <si>
    <t>211.33 SF</t>
  </si>
  <si>
    <t>Grand Total: 18</t>
  </si>
  <si>
    <t>Category</t>
  </si>
  <si>
    <t>&lt;varies&gt;</t>
  </si>
  <si>
    <t>CN_RFG_Asphalt Shingles</t>
  </si>
  <si>
    <t>3776.18 SF</t>
  </si>
  <si>
    <t>Grand total: 10</t>
  </si>
  <si>
    <t>Closet Shelf and Pole</t>
  </si>
  <si>
    <t>15" Deep</t>
  </si>
  <si>
    <t>Fascia-Soffit-Frieze_HORIZONTAL</t>
  </si>
  <si>
    <t>Fascia-Soffit-Frieze_LINE</t>
  </si>
  <si>
    <t>1x6 Fascia - 1x6 Frieze</t>
  </si>
  <si>
    <t>Fascia-Soffit_CORNER</t>
  </si>
  <si>
    <t>1x6</t>
  </si>
  <si>
    <t>Finishes_Wall Corner Board</t>
  </si>
  <si>
    <t>Finishes_Corner Board_4" x 4" x 3/4"</t>
  </si>
  <si>
    <t>Front Door Trim12</t>
  </si>
  <si>
    <t>Front Door Trim</t>
  </si>
  <si>
    <t>Grand total: 62</t>
  </si>
  <si>
    <t>Total No of Sticks</t>
  </si>
  <si>
    <t>Transoms-Sidelites_Fixed_Single: 4010 TRNSM (FRONT DOOR)</t>
  </si>
  <si>
    <t>4' - 1 1/4"</t>
  </si>
  <si>
    <t>1' - 0"</t>
  </si>
  <si>
    <t>10' - 2 1/2"</t>
  </si>
  <si>
    <t>Windows_Hung_Double_Simple_V02: TWIN 2860</t>
  </si>
  <si>
    <t>5' - 4"</t>
  </si>
  <si>
    <t>6' - 0"</t>
  </si>
  <si>
    <t>22' - 8"</t>
  </si>
  <si>
    <t>Windows_Hung_Double_Simple_V02: TWIN 3050</t>
  </si>
  <si>
    <t>5' - 0"</t>
  </si>
  <si>
    <t>22' - 0"</t>
  </si>
  <si>
    <t>Windows_Hung_Single_Simple_V02: 2040</t>
  </si>
  <si>
    <t>2' - 0"</t>
  </si>
  <si>
    <t>4' - 0"</t>
  </si>
  <si>
    <t>12' - 0"</t>
  </si>
  <si>
    <t>Windows_Hung_Single_Simple_V02: 2860</t>
  </si>
  <si>
    <t>2' - 8"</t>
  </si>
  <si>
    <t>52' - 0"</t>
  </si>
  <si>
    <t>Windows_Hung_Triple_Simple: TRIPLE 2860</t>
  </si>
  <si>
    <t>28' - 0"</t>
  </si>
  <si>
    <t>Grand total: 8</t>
  </si>
  <si>
    <t>146' - 10 1/2"</t>
  </si>
  <si>
    <t>Length of Trim for Legs</t>
  </si>
  <si>
    <t>Length of Trim for Top</t>
  </si>
  <si>
    <t>Total Length of Trim</t>
  </si>
  <si>
    <t>No of 14' Sticks</t>
  </si>
  <si>
    <t>Door_Opening_Simple Frame: 3078 CO</t>
  </si>
  <si>
    <t>Case Opening</t>
  </si>
  <si>
    <t>3078 CO</t>
  </si>
  <si>
    <t>3' - 0"</t>
  </si>
  <si>
    <t>7' - 8"</t>
  </si>
  <si>
    <t>16' - 4"</t>
  </si>
  <si>
    <t>40' - 8"</t>
  </si>
  <si>
    <t>Door_Opening_Simple Frame: 3678 CO</t>
  </si>
  <si>
    <t>3678 CO</t>
  </si>
  <si>
    <t>3' - 6"</t>
  </si>
  <si>
    <t>4' - 6"</t>
  </si>
  <si>
    <t>41' - 8"</t>
  </si>
  <si>
    <t>Door_Opening_Simple Frame: 4078 CO</t>
  </si>
  <si>
    <t>4078 CO</t>
  </si>
  <si>
    <t>42' - 8"</t>
  </si>
  <si>
    <t>Grand total: 3</t>
  </si>
  <si>
    <t>125' - 0"</t>
  </si>
  <si>
    <t>Door_Hinged_Double_Solid Flush_V02: 3068 DBL</t>
  </si>
  <si>
    <t>Double-Hinged</t>
  </si>
  <si>
    <t>3068 DBL</t>
  </si>
  <si>
    <t>6' - 8"</t>
  </si>
  <si>
    <t>14' - 4"</t>
  </si>
  <si>
    <t>36' - 8"</t>
  </si>
  <si>
    <t>Door_Hinged_Double_Solid Flush_V02: 4068 DBL</t>
  </si>
  <si>
    <t>4068 DBL</t>
  </si>
  <si>
    <t>38' - 8"</t>
  </si>
  <si>
    <t>Door_Hinged_Double_Solid Flush_V02: 5068 DBL</t>
  </si>
  <si>
    <t>5068 DBL</t>
  </si>
  <si>
    <t>Door_Hinged_Single_Solid Flush_V02: 2068</t>
  </si>
  <si>
    <t>Single-Hinged</t>
  </si>
  <si>
    <t>34' - 8"</t>
  </si>
  <si>
    <t>Door_Hinged_Single_Solid Flush_V02: 2668</t>
  </si>
  <si>
    <t>2' - 6"</t>
  </si>
  <si>
    <t>35' - 8"</t>
  </si>
  <si>
    <t>Door_Hinged_Single_Solid Flush_V02: 2868</t>
  </si>
  <si>
    <t>3' - 8"</t>
  </si>
  <si>
    <t>36' - 0"</t>
  </si>
  <si>
    <t>Door_Hinged_Single_Solid Flush_V02: 3068</t>
  </si>
  <si>
    <t>Door_Hinged_Single_Solid Flush_V02: 21068</t>
  </si>
  <si>
    <t>2' - 10"</t>
  </si>
  <si>
    <t>3' - 10"</t>
  </si>
  <si>
    <t>36' - 4"</t>
  </si>
  <si>
    <t>Grand total: 15</t>
  </si>
  <si>
    <t>546' - 0"</t>
  </si>
  <si>
    <t>Door_Hinged_Single_Simulated Lites_Half Glass 2 panels_V02: 3068 6-LITE</t>
  </si>
  <si>
    <t>3068 6-LITE</t>
  </si>
  <si>
    <t>18' - 4"</t>
  </si>
  <si>
    <t>Door_Sliding_Double_V02: 5068 SGD</t>
  </si>
  <si>
    <t>Double-Sliding</t>
  </si>
  <si>
    <t>5068 SGD</t>
  </si>
  <si>
    <t>20' - 4"</t>
  </si>
  <si>
    <t>57' - 0"</t>
  </si>
  <si>
    <t>No_Of_Sheets</t>
  </si>
  <si>
    <t>CN_SID_Drywall (GWB)</t>
  </si>
  <si>
    <t>8221.82 SF</t>
  </si>
  <si>
    <t>CN_SID_FireRated_Drywall (GWB)</t>
  </si>
  <si>
    <t>380.10 SF</t>
  </si>
  <si>
    <t>Grand total: 81</t>
  </si>
  <si>
    <t>8601.92 SF</t>
  </si>
  <si>
    <t>Basic Wall: W-F_CMU8_8"(Stacked)</t>
  </si>
  <si>
    <t>Stacked</t>
  </si>
  <si>
    <t>0' - 8"</t>
  </si>
  <si>
    <t>168' - 4"</t>
  </si>
  <si>
    <t>Basic Wall: W-F_CMU4_4"</t>
  </si>
  <si>
    <t>Foundation</t>
  </si>
  <si>
    <t>0' - 4"</t>
  </si>
  <si>
    <t>38' - 2"</t>
  </si>
  <si>
    <t>Basic Wall: W-F_CMU8_8"</t>
  </si>
  <si>
    <t>96' - 11"</t>
  </si>
  <si>
    <t>Basic Wall: W-F_CMU12_12"</t>
  </si>
  <si>
    <t>5' - 10 3/4"</t>
  </si>
  <si>
    <t>Grand total: 33</t>
  </si>
  <si>
    <t>309' - 3 3/4"</t>
  </si>
  <si>
    <t>2x4</t>
  </si>
  <si>
    <t>57' - 1 31/32"</t>
  </si>
  <si>
    <t>5' - 11 1/2"</t>
  </si>
  <si>
    <t>Basic Wall: W-GAR-COM_GWB--WDF4--GWB_4 1/2"</t>
  </si>
  <si>
    <t>Garage Common</t>
  </si>
  <si>
    <t>40' - 3 5/16"</t>
  </si>
  <si>
    <t>(2) 2x4</t>
  </si>
  <si>
    <t>4' - 2"</t>
  </si>
  <si>
    <t>50' - 3"</t>
  </si>
  <si>
    <t>Basic Wall: W-P_GWB--WDF4_4"</t>
  </si>
  <si>
    <t>Interior Unfinished</t>
  </si>
  <si>
    <t>5' - 10"</t>
  </si>
  <si>
    <t>Basic Wall: W-P_WDF4--GWB_4"</t>
  </si>
  <si>
    <t>16' - 4 1/2"</t>
  </si>
  <si>
    <t>Grand total: 58</t>
  </si>
  <si>
    <t>630' - 5 3/8"</t>
  </si>
  <si>
    <t>BallCatch/T-Astragal</t>
  </si>
  <si>
    <t>(none)</t>
  </si>
  <si>
    <t>Yes</t>
  </si>
  <si>
    <t>No</t>
  </si>
  <si>
    <t>4010 TRNSM (FRONT DOOR)</t>
  </si>
  <si>
    <t>Double</t>
  </si>
  <si>
    <t>TWIN 2860</t>
  </si>
  <si>
    <t>TWIN 3050</t>
  </si>
  <si>
    <t>Single</t>
  </si>
  <si>
    <t>Triple</t>
  </si>
  <si>
    <t>TRIPLE 2860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</si>
</sst>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color theme="1"/>
      <name val="Garamond"/>
      <family val="1"/>
    </font>
    <font>
      <sz val="16"/>
      <color theme="1"/>
      <name val="Garamond"/>
      <family val="1"/>
    </font>
    <font>
      <sz val="11"/>
      <color theme="1"/>
      <name val="Garamond"/>
      <family val="1"/>
    </font>
    <font>
      <b/>
      <sz val="20"/>
      <color theme="1"/>
      <name val="Garamond"/>
      <family val="1"/>
    </font>
    <font>
      <b/>
      <sz val="11"/>
      <color theme="1"/>
      <name val="Garamond"/>
      <family val="1"/>
    </font>
    <font>
      <b/>
      <sz val="18"/>
      <color theme="1"/>
      <name val="Garamond"/>
      <family val="1"/>
    </font>
    <font>
      <sz val="12"/>
      <color theme="1"/>
      <name val="Garamond"/>
      <family val="1"/>
    </font>
    <font>
      <b/>
      <sz val="12"/>
      <color theme="1"/>
      <name val="Garamond"/>
      <family val="1"/>
    </font>
    <font>
      <sz val="11"/>
      <name val="Garamond"/>
      <family val="1"/>
    </font>
    <font>
      <b/>
      <sz val="16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/>
    <xf numFmtId="0" fontId="7" fillId="0" borderId="0" xfId="0" applyNumberFormat="1" applyFont="1"/>
    <xf numFmtId="47" fontId="7" fillId="0" borderId="0" xfId="0" applyNumberFormat="1" applyFont="1"/>
    <xf numFmtId="14" fontId="7" fillId="0" borderId="0" xfId="0" applyNumberFormat="1" applyFont="1"/>
    <xf numFmtId="0" fontId="1" fillId="4" borderId="1" xfId="0" applyFont="1" applyFill="1" applyBorder="1"/>
    <xf numFmtId="0" fontId="0" fillId="0" borderId="0" xfId="0"/>
    <xf numFmtId="0" fontId="1" fillId="2" borderId="1" xfId="0" applyFont="1" applyFill="1" applyBorder="1"/>
    <xf numFmtId="0" fontId="3" fillId="0" borderId="0" xfId="0" applyFont="1"/>
    <xf numFmtId="0" fontId="9" fillId="5" borderId="0" xfId="0" applyFont="1" applyFill="1"/>
    <xf numFmtId="0" fontId="6" fillId="3" borderId="2" xfId="0" applyFont="1" applyFill="1" applyBorder="1" applyAlignment="1"/>
    <xf numFmtId="0" fontId="10" fillId="2" borderId="1" xfId="0" applyFont="1" applyFill="1" applyBorder="1"/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3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0857-4AA2-42AC-99A3-B835839CDB88}">
  <sheetPr codeName="Sheet13"/>
  <dimension ref="A1:B32"/>
  <sheetViews>
    <sheetView workbookViewId="0">
      <selection activeCell="B6" sqref="B6"/>
    </sheetView>
  </sheetViews>
  <sheetFormatPr defaultColWidth="9.1796875" defaultRowHeight="14.5" x14ac:dyDescent="0.35"/>
  <cols>
    <col min="1" max="1" width="39.54296875" style="3" customWidth="1"/>
    <col min="2" max="2" width="50.54296875" style="3" customWidth="1"/>
    <col min="3" max="16384" width="9.1796875" style="3"/>
  </cols>
  <sheetData>
    <row r="1" spans="1:2" s="1" customFormat="1" ht="20.5" x14ac:dyDescent="0.45">
      <c r="A1" s="2" t="s">
        <v>35</v>
      </c>
      <c r="B1" s="1" t="s">
        <v>34</v>
      </c>
    </row>
    <row r="3" spans="1:2" ht="15.5" x14ac:dyDescent="0.35">
      <c r="A3" s="6" t="s">
        <v>58</v>
      </c>
      <c r="B3" s="6" t="s">
        <v>100</v>
      </c>
    </row>
    <row r="4" spans="1:2" ht="15.5" x14ac:dyDescent="0.35">
      <c r="A4" s="6" t="s">
        <v>59</v>
      </c>
      <c r="B4" s="6" t="s">
        <v>101</v>
      </c>
    </row>
    <row r="5" spans="1:2" ht="15.5" x14ac:dyDescent="0.35">
      <c r="A5" s="6" t="s">
        <v>60</v>
      </c>
      <c r="B5" s="6" t="s">
        <v>102</v>
      </c>
    </row>
    <row r="6" spans="1:2" ht="26" x14ac:dyDescent="0.6">
      <c r="A6" s="3" t="s">
        <v>61</v>
      </c>
      <c r="B6" s="4" t="s">
        <v>103</v>
      </c>
    </row>
    <row r="7" spans="1:2" ht="15.5" x14ac:dyDescent="0.35">
      <c r="A7" s="6" t="s">
        <v>62</v>
      </c>
      <c r="B7" s="6" t="s">
        <v>104</v>
      </c>
    </row>
    <row r="8" spans="1:2" ht="15.5" x14ac:dyDescent="0.35">
      <c r="A8" s="6" t="s">
        <v>63</v>
      </c>
      <c r="B8" s="6" t="s">
        <v>105</v>
      </c>
    </row>
    <row r="9" spans="1:2" ht="15.5" x14ac:dyDescent="0.35">
      <c r="A9" s="6" t="s">
        <v>64</v>
      </c>
      <c r="B9" s="6" t="s">
        <v>106</v>
      </c>
    </row>
    <row r="10" spans="1:2" ht="15.5" x14ac:dyDescent="0.35">
      <c r="A10" s="6" t="s">
        <v>65</v>
      </c>
      <c r="B10" s="9">
        <v>44308</v>
      </c>
    </row>
    <row r="11" spans="1:2" ht="15.5" x14ac:dyDescent="0.35">
      <c r="A11" s="6" t="s">
        <v>66</v>
      </c>
      <c r="B11" s="6" t="s">
        <v>107</v>
      </c>
    </row>
    <row r="12" spans="1:2" ht="15.5" x14ac:dyDescent="0.35">
      <c r="A12" s="6"/>
      <c r="B12" s="6"/>
    </row>
    <row r="13" spans="1:2" ht="15.5" x14ac:dyDescent="0.35">
      <c r="A13" s="6" t="s">
        <v>36</v>
      </c>
      <c r="B13" s="17"/>
    </row>
    <row r="14" spans="1:2" ht="15.5" x14ac:dyDescent="0.35">
      <c r="A14" s="6"/>
      <c r="B14" s="18"/>
    </row>
    <row r="15" spans="1:2" ht="15.5" x14ac:dyDescent="0.35">
      <c r="A15" s="6"/>
      <c r="B15" s="18"/>
    </row>
    <row r="17" spans="1:2" ht="15.5" x14ac:dyDescent="0.35">
      <c r="A17" s="19" t="s">
        <v>39</v>
      </c>
      <c r="B17" s="19"/>
    </row>
    <row r="18" spans="1:2" ht="15.5" x14ac:dyDescent="0.35">
      <c r="A18" s="6" t="s">
        <v>51</v>
      </c>
      <c r="B18" s="7">
        <v>2068</v>
      </c>
    </row>
    <row r="19" spans="1:2" ht="15.5" x14ac:dyDescent="0.35">
      <c r="A19" s="6" t="s">
        <v>52</v>
      </c>
      <c r="B19" s="7">
        <v>0</v>
      </c>
    </row>
    <row r="20" spans="1:2" ht="15.5" x14ac:dyDescent="0.35">
      <c r="A20" s="6" t="s">
        <v>53</v>
      </c>
      <c r="B20" s="7">
        <v>0</v>
      </c>
    </row>
    <row r="21" spans="1:2" ht="15.5" x14ac:dyDescent="0.35">
      <c r="A21" s="6" t="s">
        <v>54</v>
      </c>
      <c r="B21" s="7">
        <v>0</v>
      </c>
    </row>
    <row r="22" spans="1:2" ht="15.5" x14ac:dyDescent="0.35">
      <c r="A22" s="6" t="s">
        <v>55</v>
      </c>
      <c r="B22" s="7">
        <v>0</v>
      </c>
    </row>
    <row r="23" spans="1:2" ht="15.5" x14ac:dyDescent="0.35">
      <c r="A23" s="6" t="s">
        <v>56</v>
      </c>
      <c r="B23" s="7">
        <v>39</v>
      </c>
    </row>
    <row r="24" spans="1:2" ht="15.5" x14ac:dyDescent="0.35">
      <c r="A24" s="6" t="s">
        <v>57</v>
      </c>
      <c r="B24" s="7">
        <v>39</v>
      </c>
    </row>
    <row r="25" spans="1:2" ht="15.5" x14ac:dyDescent="0.35">
      <c r="A25" s="6"/>
      <c r="B25" s="6"/>
    </row>
    <row r="26" spans="1:2" ht="15.5" x14ac:dyDescent="0.35">
      <c r="A26" s="6" t="s">
        <v>37</v>
      </c>
      <c r="B26" s="6" t="s">
        <v>99</v>
      </c>
    </row>
    <row r="27" spans="1:2" ht="15.5" x14ac:dyDescent="0.35">
      <c r="A27" s="6"/>
      <c r="B27" s="6"/>
    </row>
    <row r="28" spans="1:2" ht="15.5" x14ac:dyDescent="0.35">
      <c r="A28" s="6" t="s">
        <v>38</v>
      </c>
      <c r="B28" s="8">
        <v>44792.682120937498</v>
      </c>
    </row>
    <row r="29" spans="1:2" ht="15.5" x14ac:dyDescent="0.35">
      <c r="A29" s="6"/>
      <c r="B29" s="6"/>
    </row>
    <row r="30" spans="1:2" ht="15.5" x14ac:dyDescent="0.35">
      <c r="A30" s="6" t="s">
        <v>43</v>
      </c>
      <c r="B30" s="6"/>
    </row>
    <row r="31" spans="1:2" ht="15.5" x14ac:dyDescent="0.35">
      <c r="A31" s="6"/>
      <c r="B31" s="6"/>
    </row>
    <row r="32" spans="1:2" ht="15.5" x14ac:dyDescent="0.35">
      <c r="A32" s="6" t="s">
        <v>44</v>
      </c>
      <c r="B32" s="6"/>
    </row>
  </sheetData>
  <mergeCells count="2">
    <mergeCell ref="B13:B15"/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587B-7EF8-47F5-A61A-D3E54ADF5D47}">
  <sheetPr codeName="Sheet2"/>
  <dimension ref="A1:J16"/>
  <sheetViews>
    <sheetView workbookViewId="0">
      <selection sqref="A1:J1"/>
    </sheetView>
  </sheetViews>
  <sheetFormatPr defaultColWidth="9.1796875" defaultRowHeight="14.5" x14ac:dyDescent="0.35"/>
  <cols>
    <col min="1" max="1" width="66.26953125" style="3" customWidth="1"/>
    <col min="2" max="2" width="26.26953125" style="3" customWidth="1"/>
    <col min="3" max="3" width="15.7265625" style="3" customWidth="1"/>
    <col min="4" max="4" width="10.54296875" style="3" bestFit="1" customWidth="1"/>
    <col min="5" max="5" width="13.453125" style="3" customWidth="1"/>
    <col min="6" max="6" width="15.1796875" style="3" customWidth="1"/>
    <col min="7" max="8" width="17" style="5" customWidth="1"/>
    <col min="9" max="9" width="46" style="3" customWidth="1"/>
    <col min="10" max="10" width="13.7265625" style="3" customWidth="1"/>
    <col min="11" max="16384" width="9.1796875" style="3"/>
  </cols>
  <sheetData>
    <row r="1" spans="1:10" ht="23" x14ac:dyDescent="0.5">
      <c r="A1" s="20" t="s">
        <v>0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301</v>
      </c>
      <c r="H2" s="12" t="s">
        <v>32</v>
      </c>
      <c r="I2" s="1" t="s">
        <v>16</v>
      </c>
      <c r="J2" s="1" t="s">
        <v>16</v>
      </c>
    </row>
    <row r="4" spans="1:10" x14ac:dyDescent="0.35">
      <c r="A4" s="3" t="s">
        <v>256</v>
      </c>
      <c r="B4" s="3" t="s">
        <v>113</v>
      </c>
      <c r="C4" s="3" t="s">
        <v>241</v>
      </c>
      <c r="D4" s="3" t="s">
        <v>257</v>
      </c>
      <c r="E4" s="3" t="s">
        <v>215</v>
      </c>
      <c r="F4" s="3" t="s">
        <v>232</v>
      </c>
      <c r="G4" s="5" t="s">
        <v>302</v>
      </c>
      <c r="I4" s="3">
        <v>1</v>
      </c>
    </row>
    <row r="5" spans="1:10" x14ac:dyDescent="0.35">
      <c r="A5" s="3" t="s">
        <v>249</v>
      </c>
      <c r="B5" s="3" t="s">
        <v>113</v>
      </c>
      <c r="C5" s="3" t="s">
        <v>241</v>
      </c>
      <c r="D5" s="3">
        <v>3068</v>
      </c>
      <c r="E5" s="3" t="s">
        <v>215</v>
      </c>
      <c r="F5" s="3" t="s">
        <v>232</v>
      </c>
      <c r="G5" s="5" t="s">
        <v>302</v>
      </c>
      <c r="I5" s="3">
        <v>1</v>
      </c>
    </row>
    <row r="6" spans="1:10" x14ac:dyDescent="0.35">
      <c r="A6" s="3" t="s">
        <v>259</v>
      </c>
      <c r="B6" s="3" t="s">
        <v>113</v>
      </c>
      <c r="C6" s="3" t="s">
        <v>260</v>
      </c>
      <c r="D6" s="3" t="s">
        <v>261</v>
      </c>
      <c r="E6" s="3" t="s">
        <v>195</v>
      </c>
      <c r="F6" s="3" t="s">
        <v>232</v>
      </c>
      <c r="G6" s="5" t="s">
        <v>302</v>
      </c>
      <c r="I6" s="3">
        <v>1</v>
      </c>
    </row>
    <row r="7" spans="1:10" x14ac:dyDescent="0.35">
      <c r="A7" s="3" t="s">
        <v>229</v>
      </c>
      <c r="B7" s="3" t="s">
        <v>116</v>
      </c>
      <c r="C7" s="3" t="s">
        <v>230</v>
      </c>
      <c r="D7" s="3" t="s">
        <v>231</v>
      </c>
      <c r="E7" s="3" t="s">
        <v>215</v>
      </c>
      <c r="F7" s="3" t="s">
        <v>232</v>
      </c>
      <c r="G7" s="5" t="s">
        <v>302</v>
      </c>
      <c r="H7" s="5" t="s">
        <v>303</v>
      </c>
      <c r="I7" s="3">
        <v>1</v>
      </c>
    </row>
    <row r="8" spans="1:10" x14ac:dyDescent="0.35">
      <c r="A8" s="3" t="s">
        <v>235</v>
      </c>
      <c r="B8" s="3" t="s">
        <v>116</v>
      </c>
      <c r="C8" s="3" t="s">
        <v>230</v>
      </c>
      <c r="D8" s="3" t="s">
        <v>236</v>
      </c>
      <c r="E8" s="3" t="s">
        <v>199</v>
      </c>
      <c r="F8" s="3" t="s">
        <v>232</v>
      </c>
      <c r="G8" s="5" t="s">
        <v>302</v>
      </c>
      <c r="H8" s="5" t="s">
        <v>303</v>
      </c>
      <c r="I8" s="3">
        <v>1</v>
      </c>
    </row>
    <row r="9" spans="1:10" x14ac:dyDescent="0.35">
      <c r="A9" s="3" t="s">
        <v>238</v>
      </c>
      <c r="B9" s="3" t="s">
        <v>116</v>
      </c>
      <c r="C9" s="3" t="s">
        <v>230</v>
      </c>
      <c r="D9" s="3" t="s">
        <v>239</v>
      </c>
      <c r="E9" s="3" t="s">
        <v>195</v>
      </c>
      <c r="F9" s="3" t="s">
        <v>232</v>
      </c>
      <c r="G9" s="5" t="s">
        <v>302</v>
      </c>
      <c r="I9" s="3">
        <v>1</v>
      </c>
    </row>
    <row r="10" spans="1:10" x14ac:dyDescent="0.35">
      <c r="A10" s="3" t="s">
        <v>240</v>
      </c>
      <c r="B10" s="3" t="s">
        <v>116</v>
      </c>
      <c r="C10" s="3" t="s">
        <v>241</v>
      </c>
      <c r="D10" s="3">
        <v>2068</v>
      </c>
      <c r="E10" s="3" t="s">
        <v>198</v>
      </c>
      <c r="F10" s="3" t="s">
        <v>232</v>
      </c>
      <c r="G10" s="5" t="s">
        <v>302</v>
      </c>
      <c r="I10" s="3">
        <v>1</v>
      </c>
    </row>
    <row r="11" spans="1:10" x14ac:dyDescent="0.35">
      <c r="A11" s="3" t="s">
        <v>243</v>
      </c>
      <c r="B11" s="3" t="s">
        <v>116</v>
      </c>
      <c r="C11" s="3" t="s">
        <v>241</v>
      </c>
      <c r="D11" s="3">
        <v>2668</v>
      </c>
      <c r="E11" s="3" t="s">
        <v>244</v>
      </c>
      <c r="F11" s="3" t="s">
        <v>232</v>
      </c>
      <c r="G11" s="5" t="s">
        <v>302</v>
      </c>
      <c r="I11" s="3">
        <v>3</v>
      </c>
    </row>
    <row r="12" spans="1:10" x14ac:dyDescent="0.35">
      <c r="A12" s="3" t="s">
        <v>243</v>
      </c>
      <c r="B12" s="3" t="s">
        <v>116</v>
      </c>
      <c r="C12" s="3" t="s">
        <v>241</v>
      </c>
      <c r="D12" s="3">
        <v>2668</v>
      </c>
      <c r="E12" s="3" t="s">
        <v>244</v>
      </c>
      <c r="F12" s="3" t="s">
        <v>232</v>
      </c>
      <c r="G12" s="5" t="s">
        <v>302</v>
      </c>
      <c r="H12" s="5" t="s">
        <v>304</v>
      </c>
      <c r="I12" s="3">
        <v>3</v>
      </c>
    </row>
    <row r="13" spans="1:10" x14ac:dyDescent="0.35">
      <c r="A13" s="3" t="s">
        <v>246</v>
      </c>
      <c r="B13" s="3" t="s">
        <v>116</v>
      </c>
      <c r="C13" s="3" t="s">
        <v>241</v>
      </c>
      <c r="D13" s="3">
        <v>2868</v>
      </c>
      <c r="E13" s="3" t="s">
        <v>202</v>
      </c>
      <c r="F13" s="3" t="s">
        <v>232</v>
      </c>
      <c r="G13" s="5" t="s">
        <v>302</v>
      </c>
      <c r="I13" s="3">
        <v>2</v>
      </c>
    </row>
    <row r="14" spans="1:10" x14ac:dyDescent="0.35">
      <c r="A14" s="3" t="s">
        <v>249</v>
      </c>
      <c r="B14" s="3" t="s">
        <v>116</v>
      </c>
      <c r="C14" s="3" t="s">
        <v>241</v>
      </c>
      <c r="D14" s="3">
        <v>3068</v>
      </c>
      <c r="E14" s="3" t="s">
        <v>215</v>
      </c>
      <c r="F14" s="3" t="s">
        <v>232</v>
      </c>
      <c r="G14" s="5" t="s">
        <v>302</v>
      </c>
      <c r="I14" s="3">
        <v>1</v>
      </c>
    </row>
    <row r="15" spans="1:10" x14ac:dyDescent="0.35">
      <c r="A15" s="3" t="s">
        <v>250</v>
      </c>
      <c r="B15" s="3" t="s">
        <v>116</v>
      </c>
      <c r="C15" s="3" t="s">
        <v>241</v>
      </c>
      <c r="D15" s="3">
        <v>21068</v>
      </c>
      <c r="E15" s="3" t="s">
        <v>251</v>
      </c>
      <c r="F15" s="3" t="s">
        <v>232</v>
      </c>
      <c r="G15" s="5" t="s">
        <v>302</v>
      </c>
      <c r="I15" s="3">
        <v>2</v>
      </c>
    </row>
    <row r="16" spans="1:10" x14ac:dyDescent="0.35">
      <c r="A16" s="3" t="s">
        <v>137</v>
      </c>
      <c r="I16" s="3">
        <v>18</v>
      </c>
    </row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D92D5-42D6-445A-B306-C1D5DB54CBB8}">
  <sheetPr codeName="Sheet1"/>
  <dimension ref="A1:G10"/>
  <sheetViews>
    <sheetView workbookViewId="0">
      <selection sqref="A1:G1"/>
    </sheetView>
  </sheetViews>
  <sheetFormatPr defaultColWidth="9.1796875" defaultRowHeight="14.5" x14ac:dyDescent="0.35"/>
  <cols>
    <col min="1" max="1" width="57" style="3" customWidth="1"/>
    <col min="2" max="2" width="21.26953125" style="3" customWidth="1"/>
    <col min="3" max="3" width="25.81640625" style="3" bestFit="1" customWidth="1"/>
    <col min="4" max="4" width="11.7265625" style="3" customWidth="1"/>
    <col min="5" max="5" width="12.453125" style="3" customWidth="1"/>
    <col min="6" max="6" width="37" style="3" customWidth="1"/>
    <col min="7" max="7" width="14.1796875" style="5" customWidth="1"/>
    <col min="8" max="10" width="9.1796875" style="3"/>
    <col min="11" max="11" width="8.26953125" style="3" bestFit="1" customWidth="1"/>
    <col min="12" max="16384" width="9.1796875" style="3"/>
  </cols>
  <sheetData>
    <row r="1" spans="1:7" ht="23" x14ac:dyDescent="0.5">
      <c r="A1" s="20" t="s">
        <v>1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" t="s">
        <v>13</v>
      </c>
      <c r="B2" s="1" t="s">
        <v>33</v>
      </c>
      <c r="C2" s="1" t="s">
        <v>23</v>
      </c>
      <c r="D2" s="1" t="s">
        <v>24</v>
      </c>
      <c r="E2" s="1" t="s">
        <v>25</v>
      </c>
      <c r="F2" s="1" t="s">
        <v>42</v>
      </c>
      <c r="G2" s="1" t="s">
        <v>16</v>
      </c>
    </row>
    <row r="4" spans="1:7" x14ac:dyDescent="0.35">
      <c r="A4" s="3" t="s">
        <v>186</v>
      </c>
      <c r="C4" s="3" t="s">
        <v>305</v>
      </c>
      <c r="D4" s="3" t="s">
        <v>187</v>
      </c>
      <c r="E4" s="3" t="s">
        <v>188</v>
      </c>
      <c r="G4" s="5">
        <v>1</v>
      </c>
    </row>
    <row r="5" spans="1:7" x14ac:dyDescent="0.35">
      <c r="A5" s="3" t="s">
        <v>190</v>
      </c>
      <c r="B5" s="3" t="s">
        <v>306</v>
      </c>
      <c r="C5" s="3" t="s">
        <v>307</v>
      </c>
      <c r="D5" s="3" t="s">
        <v>191</v>
      </c>
      <c r="E5" s="3" t="s">
        <v>192</v>
      </c>
      <c r="F5" s="3" t="s">
        <v>304</v>
      </c>
      <c r="G5" s="5">
        <v>1</v>
      </c>
    </row>
    <row r="6" spans="1:7" x14ac:dyDescent="0.35">
      <c r="A6" s="3" t="s">
        <v>194</v>
      </c>
      <c r="C6" s="3" t="s">
        <v>308</v>
      </c>
      <c r="D6" s="3" t="s">
        <v>192</v>
      </c>
      <c r="E6" s="3" t="s">
        <v>195</v>
      </c>
      <c r="F6" s="3" t="s">
        <v>303</v>
      </c>
      <c r="G6" s="5">
        <v>1</v>
      </c>
    </row>
    <row r="7" spans="1:7" x14ac:dyDescent="0.35">
      <c r="A7" s="3" t="s">
        <v>197</v>
      </c>
      <c r="B7" s="3" t="s">
        <v>309</v>
      </c>
      <c r="C7" s="3">
        <v>2040</v>
      </c>
      <c r="D7" s="3" t="s">
        <v>198</v>
      </c>
      <c r="E7" s="3" t="s">
        <v>199</v>
      </c>
      <c r="F7" s="3" t="s">
        <v>303</v>
      </c>
      <c r="G7" s="5">
        <v>1</v>
      </c>
    </row>
    <row r="8" spans="1:7" x14ac:dyDescent="0.35">
      <c r="A8" s="3" t="s">
        <v>201</v>
      </c>
      <c r="B8" s="3" t="s">
        <v>309</v>
      </c>
      <c r="C8" s="3">
        <v>2860</v>
      </c>
      <c r="D8" s="3" t="s">
        <v>202</v>
      </c>
      <c r="E8" s="3" t="s">
        <v>192</v>
      </c>
      <c r="F8" s="3" t="s">
        <v>303</v>
      </c>
      <c r="G8" s="5">
        <v>3</v>
      </c>
    </row>
    <row r="9" spans="1:7" x14ac:dyDescent="0.35">
      <c r="A9" s="3" t="s">
        <v>204</v>
      </c>
      <c r="B9" s="3" t="s">
        <v>310</v>
      </c>
      <c r="C9" s="3" t="s">
        <v>311</v>
      </c>
      <c r="D9" s="3" t="s">
        <v>72</v>
      </c>
      <c r="E9" s="3" t="s">
        <v>192</v>
      </c>
      <c r="F9" s="3" t="s">
        <v>303</v>
      </c>
      <c r="G9" s="5">
        <v>1</v>
      </c>
    </row>
    <row r="10" spans="1:7" x14ac:dyDescent="0.35">
      <c r="A10" s="3" t="s">
        <v>206</v>
      </c>
      <c r="G10" s="5">
        <v>8</v>
      </c>
    </row>
  </sheetData>
  <mergeCells count="1"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FB707-7ACF-446C-99E7-717DB5861B72}">
  <sheetPr codeName="Sheet3"/>
  <dimension ref="A1:E14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6.26953125" style="3" customWidth="1"/>
    <col min="4" max="4" width="11.81640625" style="3" customWidth="1"/>
    <col min="5" max="5" width="16.453125" style="5" customWidth="1"/>
    <col min="6" max="16384" width="9.1796875" style="3"/>
  </cols>
  <sheetData>
    <row r="1" spans="1:5" ht="23" x14ac:dyDescent="0.5">
      <c r="A1" s="20" t="s">
        <v>4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31</v>
      </c>
      <c r="D2" s="1" t="s">
        <v>16</v>
      </c>
      <c r="E2" s="1" t="s">
        <v>15</v>
      </c>
    </row>
    <row r="4" spans="1:5" x14ac:dyDescent="0.35">
      <c r="A4" s="3" t="s">
        <v>112</v>
      </c>
      <c r="B4" s="3" t="s">
        <v>113</v>
      </c>
      <c r="C4" s="3" t="s">
        <v>285</v>
      </c>
      <c r="D4" s="3">
        <v>8</v>
      </c>
      <c r="E4" s="5" t="s">
        <v>114</v>
      </c>
    </row>
    <row r="5" spans="1:5" x14ac:dyDescent="0.35">
      <c r="A5" s="3" t="s">
        <v>127</v>
      </c>
      <c r="B5" s="3" t="s">
        <v>125</v>
      </c>
      <c r="D5" s="3">
        <v>1</v>
      </c>
      <c r="E5" s="5" t="s">
        <v>286</v>
      </c>
    </row>
    <row r="6" spans="1:5" x14ac:dyDescent="0.35">
      <c r="A6" s="3" t="s">
        <v>124</v>
      </c>
      <c r="B6" s="3" t="s">
        <v>125</v>
      </c>
      <c r="C6" s="3" t="s">
        <v>285</v>
      </c>
      <c r="D6" s="3">
        <v>1</v>
      </c>
      <c r="E6" s="5" t="s">
        <v>287</v>
      </c>
    </row>
    <row r="7" spans="1:5" x14ac:dyDescent="0.35">
      <c r="A7" s="3" t="s">
        <v>288</v>
      </c>
      <c r="B7" s="3" t="s">
        <v>289</v>
      </c>
      <c r="C7" s="3" t="s">
        <v>285</v>
      </c>
      <c r="D7" s="3">
        <v>2</v>
      </c>
      <c r="E7" s="5" t="s">
        <v>290</v>
      </c>
    </row>
    <row r="8" spans="1:5" x14ac:dyDescent="0.35">
      <c r="A8" s="3" t="s">
        <v>129</v>
      </c>
      <c r="B8" s="3" t="s">
        <v>130</v>
      </c>
      <c r="C8" s="3" t="s">
        <v>291</v>
      </c>
      <c r="D8" s="3">
        <v>1</v>
      </c>
      <c r="E8" s="5" t="s">
        <v>292</v>
      </c>
    </row>
    <row r="9" spans="1:5" x14ac:dyDescent="0.35">
      <c r="A9" s="3" t="s">
        <v>135</v>
      </c>
      <c r="B9" s="3" t="s">
        <v>130</v>
      </c>
      <c r="C9" s="3" t="s">
        <v>285</v>
      </c>
      <c r="D9" s="3">
        <v>3</v>
      </c>
      <c r="E9" s="5" t="s">
        <v>293</v>
      </c>
    </row>
    <row r="10" spans="1:5" x14ac:dyDescent="0.35">
      <c r="A10" s="3" t="s">
        <v>115</v>
      </c>
      <c r="B10" s="3" t="s">
        <v>116</v>
      </c>
      <c r="C10" s="3" t="s">
        <v>285</v>
      </c>
      <c r="D10" s="3">
        <v>29</v>
      </c>
      <c r="E10" s="5" t="s">
        <v>117</v>
      </c>
    </row>
    <row r="11" spans="1:5" x14ac:dyDescent="0.35">
      <c r="A11" s="3" t="s">
        <v>294</v>
      </c>
      <c r="B11" s="3" t="s">
        <v>295</v>
      </c>
      <c r="C11" s="3" t="s">
        <v>285</v>
      </c>
      <c r="D11" s="3">
        <v>4</v>
      </c>
      <c r="E11" s="5" t="s">
        <v>296</v>
      </c>
    </row>
    <row r="12" spans="1:5" x14ac:dyDescent="0.35">
      <c r="A12" s="3" t="s">
        <v>297</v>
      </c>
      <c r="B12" s="3" t="s">
        <v>295</v>
      </c>
      <c r="C12" s="3" t="s">
        <v>285</v>
      </c>
      <c r="D12" s="3">
        <v>6</v>
      </c>
      <c r="E12" s="5" t="s">
        <v>298</v>
      </c>
    </row>
    <row r="13" spans="1:5" x14ac:dyDescent="0.35">
      <c r="A13" s="3" t="s">
        <v>108</v>
      </c>
      <c r="B13" s="3" t="s">
        <v>109</v>
      </c>
      <c r="C13" s="3" t="s">
        <v>291</v>
      </c>
      <c r="D13" s="3">
        <v>3</v>
      </c>
      <c r="E13" s="5" t="s">
        <v>110</v>
      </c>
    </row>
    <row r="14" spans="1:5" x14ac:dyDescent="0.35">
      <c r="A14" s="3" t="s">
        <v>299</v>
      </c>
      <c r="D14" s="3">
        <v>58</v>
      </c>
      <c r="E14" s="5" t="s">
        <v>300</v>
      </c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7F615-7B96-4266-ADCE-D91AFE4D79D3}">
  <sheetPr codeName="Sheet4"/>
  <dimension ref="A1:E8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3.453125" style="3" customWidth="1"/>
    <col min="4" max="4" width="10.81640625" style="3" customWidth="1"/>
    <col min="5" max="5" width="14.54296875" style="5" bestFit="1" customWidth="1"/>
    <col min="6" max="6" width="12.54296875" style="3" bestFit="1" customWidth="1"/>
    <col min="7" max="7" width="8.54296875" style="3" bestFit="1" customWidth="1"/>
    <col min="8" max="16384" width="9.1796875" style="3"/>
  </cols>
  <sheetData>
    <row r="1" spans="1:5" ht="23" x14ac:dyDescent="0.5">
      <c r="A1" s="20" t="s">
        <v>2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14</v>
      </c>
      <c r="C2" s="1" t="s">
        <v>24</v>
      </c>
      <c r="D2" s="1" t="s">
        <v>16</v>
      </c>
      <c r="E2" s="1" t="s">
        <v>15</v>
      </c>
    </row>
    <row r="4" spans="1:5" x14ac:dyDescent="0.35">
      <c r="A4" s="3" t="s">
        <v>271</v>
      </c>
      <c r="B4" s="3" t="s">
        <v>272</v>
      </c>
      <c r="C4" s="3" t="s">
        <v>273</v>
      </c>
      <c r="D4" s="3">
        <v>5</v>
      </c>
      <c r="E4" s="5" t="s">
        <v>274</v>
      </c>
    </row>
    <row r="5" spans="1:5" x14ac:dyDescent="0.35">
      <c r="A5" s="3" t="s">
        <v>275</v>
      </c>
      <c r="B5" s="3" t="s">
        <v>276</v>
      </c>
      <c r="C5" s="3" t="s">
        <v>277</v>
      </c>
      <c r="D5" s="3">
        <v>17</v>
      </c>
      <c r="E5" s="5" t="s">
        <v>278</v>
      </c>
    </row>
    <row r="6" spans="1:5" x14ac:dyDescent="0.35">
      <c r="A6" s="3" t="s">
        <v>279</v>
      </c>
      <c r="B6" s="3" t="s">
        <v>276</v>
      </c>
      <c r="C6" s="3" t="s">
        <v>273</v>
      </c>
      <c r="D6" s="3">
        <v>9</v>
      </c>
      <c r="E6" s="5" t="s">
        <v>280</v>
      </c>
    </row>
    <row r="7" spans="1:5" x14ac:dyDescent="0.35">
      <c r="A7" s="3" t="s">
        <v>281</v>
      </c>
      <c r="B7" s="3" t="s">
        <v>276</v>
      </c>
      <c r="C7" s="3" t="s">
        <v>188</v>
      </c>
      <c r="D7" s="3">
        <v>2</v>
      </c>
      <c r="E7" s="5" t="s">
        <v>282</v>
      </c>
    </row>
    <row r="8" spans="1:5" x14ac:dyDescent="0.35">
      <c r="A8" s="3" t="s">
        <v>283</v>
      </c>
      <c r="D8" s="3">
        <v>33</v>
      </c>
      <c r="E8" s="5" t="s">
        <v>284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81FE-B254-427D-B4EC-FBB113E1FD5A}">
  <sheetPr codeName="Sheet12"/>
  <dimension ref="A1:D12"/>
  <sheetViews>
    <sheetView workbookViewId="0">
      <selection sqref="A1:D1"/>
    </sheetView>
  </sheetViews>
  <sheetFormatPr defaultColWidth="9.1796875" defaultRowHeight="14.5" x14ac:dyDescent="0.35"/>
  <cols>
    <col min="1" max="1" width="31.453125" style="3" customWidth="1"/>
    <col min="2" max="2" width="40.1796875" style="3" customWidth="1"/>
    <col min="3" max="3" width="12" style="3" customWidth="1"/>
    <col min="4" max="4" width="18.453125" style="5" customWidth="1"/>
    <col min="5" max="5" width="12.54296875" style="3" bestFit="1" customWidth="1"/>
    <col min="6" max="6" width="8.54296875" style="3" bestFit="1" customWidth="1"/>
    <col min="7" max="16384" width="9.1796875" style="3"/>
  </cols>
  <sheetData>
    <row r="1" spans="1:4" ht="23" x14ac:dyDescent="0.5">
      <c r="A1" s="20" t="s">
        <v>46</v>
      </c>
      <c r="B1" s="20"/>
      <c r="C1" s="20"/>
      <c r="D1" s="20"/>
    </row>
    <row r="2" spans="1:4" s="1" customFormat="1" ht="20.5" x14ac:dyDescent="0.45">
      <c r="A2" s="1" t="s">
        <v>67</v>
      </c>
      <c r="B2" s="1" t="s">
        <v>13</v>
      </c>
      <c r="C2" s="1" t="s">
        <v>16</v>
      </c>
      <c r="D2" s="1" t="s">
        <v>15</v>
      </c>
    </row>
    <row r="4" spans="1:4" x14ac:dyDescent="0.35">
      <c r="A4" s="3" t="s">
        <v>68</v>
      </c>
      <c r="B4" s="3" t="s">
        <v>69</v>
      </c>
      <c r="C4" s="3">
        <v>8</v>
      </c>
      <c r="D4" s="5" t="s">
        <v>70</v>
      </c>
    </row>
    <row r="5" spans="1:4" x14ac:dyDescent="0.35">
      <c r="A5" s="3" t="s">
        <v>68</v>
      </c>
      <c r="B5" s="3" t="s">
        <v>71</v>
      </c>
      <c r="C5" s="3">
        <v>4</v>
      </c>
      <c r="D5" s="5" t="s">
        <v>72</v>
      </c>
    </row>
    <row r="6" spans="1:4" x14ac:dyDescent="0.35">
      <c r="A6" s="3" t="s">
        <v>68</v>
      </c>
      <c r="B6" s="3" t="s">
        <v>73</v>
      </c>
      <c r="C6" s="3">
        <v>5</v>
      </c>
      <c r="D6" s="5" t="s">
        <v>74</v>
      </c>
    </row>
    <row r="7" spans="1:4" x14ac:dyDescent="0.35">
      <c r="C7" s="3">
        <v>17</v>
      </c>
      <c r="D7" s="5" t="s">
        <v>75</v>
      </c>
    </row>
    <row r="9" spans="1:4" x14ac:dyDescent="0.35">
      <c r="A9" s="3" t="s">
        <v>76</v>
      </c>
      <c r="B9" s="3" t="s">
        <v>77</v>
      </c>
      <c r="C9" s="3">
        <v>8</v>
      </c>
      <c r="D9" s="5" t="s">
        <v>78</v>
      </c>
    </row>
    <row r="10" spans="1:4" x14ac:dyDescent="0.35">
      <c r="A10" s="3" t="s">
        <v>76</v>
      </c>
      <c r="B10" s="3" t="s">
        <v>79</v>
      </c>
      <c r="C10" s="3">
        <v>3</v>
      </c>
      <c r="D10" s="5" t="s">
        <v>80</v>
      </c>
    </row>
    <row r="11" spans="1:4" x14ac:dyDescent="0.35">
      <c r="A11" s="3" t="s">
        <v>76</v>
      </c>
      <c r="B11" s="3" t="s">
        <v>81</v>
      </c>
      <c r="C11" s="3">
        <v>4</v>
      </c>
      <c r="D11" s="5" t="s">
        <v>82</v>
      </c>
    </row>
    <row r="12" spans="1:4" x14ac:dyDescent="0.35">
      <c r="C12" s="3">
        <v>15</v>
      </c>
      <c r="D12" s="5" t="s">
        <v>83</v>
      </c>
    </row>
  </sheetData>
  <mergeCells count="1">
    <mergeCell ref="A1:D1"/>
  </mergeCells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B8B3-195E-4F58-9813-D90387CB0E86}">
  <sheetPr codeName="Sheet5"/>
  <dimension ref="A1:C6"/>
  <sheetViews>
    <sheetView workbookViewId="0">
      <selection sqref="A1:C1"/>
    </sheetView>
  </sheetViews>
  <sheetFormatPr defaultColWidth="9.1796875" defaultRowHeight="14.5" x14ac:dyDescent="0.35"/>
  <cols>
    <col min="1" max="1" width="33.26953125" style="3" customWidth="1"/>
    <col min="2" max="2" width="23.81640625" style="3" customWidth="1"/>
    <col min="3" max="3" width="30.1796875" style="5" bestFit="1" customWidth="1"/>
    <col min="4" max="16384" width="9.1796875" style="3"/>
  </cols>
  <sheetData>
    <row r="1" spans="1:3" ht="23" x14ac:dyDescent="0.5">
      <c r="A1" s="20" t="s">
        <v>3</v>
      </c>
      <c r="B1" s="20"/>
      <c r="C1" s="20"/>
    </row>
    <row r="2" spans="1:3" s="1" customFormat="1" ht="20.5" x14ac:dyDescent="0.45">
      <c r="A2" s="1" t="s">
        <v>17</v>
      </c>
      <c r="B2" s="1" t="s">
        <v>20</v>
      </c>
      <c r="C2" s="1" t="s">
        <v>264</v>
      </c>
    </row>
    <row r="4" spans="1:3" x14ac:dyDescent="0.35">
      <c r="A4" s="3" t="s">
        <v>265</v>
      </c>
      <c r="B4" s="3" t="s">
        <v>266</v>
      </c>
      <c r="C4" s="5">
        <v>210</v>
      </c>
    </row>
    <row r="5" spans="1:3" x14ac:dyDescent="0.35">
      <c r="A5" s="3" t="s">
        <v>267</v>
      </c>
      <c r="B5" s="3" t="s">
        <v>268</v>
      </c>
      <c r="C5" s="5">
        <v>10</v>
      </c>
    </row>
    <row r="6" spans="1:3" x14ac:dyDescent="0.35">
      <c r="A6" s="3" t="s">
        <v>269</v>
      </c>
      <c r="B6" s="3" t="s">
        <v>270</v>
      </c>
      <c r="C6" s="5">
        <v>220</v>
      </c>
    </row>
  </sheetData>
  <mergeCells count="1">
    <mergeCell ref="A1: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BDE86-D345-40EE-92B5-BE5D96C7E973}">
  <sheetPr codeName="Sheet6"/>
  <dimension ref="A1:K7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67.7265625" style="3" bestFit="1" customWidth="1"/>
    <col min="2" max="2" width="25.1796875" style="3" bestFit="1" customWidth="1"/>
    <col min="3" max="3" width="21.1796875" style="3" customWidth="1"/>
    <col min="4" max="4" width="10.54296875" style="3" bestFit="1" customWidth="1"/>
    <col min="5" max="5" width="10.26953125" style="3" customWidth="1"/>
    <col min="6" max="6" width="11.1796875" style="3" customWidth="1"/>
    <col min="7" max="7" width="11.453125" style="3" customWidth="1"/>
    <col min="8" max="8" width="34.54296875" style="3" customWidth="1"/>
    <col min="9" max="9" width="31.54296875" style="3" bestFit="1" customWidth="1"/>
    <col min="10" max="10" width="21.26953125" style="3" bestFit="1" customWidth="1"/>
    <col min="11" max="16384" width="9.1796875" style="3"/>
  </cols>
  <sheetData>
    <row r="1" spans="1:11" ht="23" x14ac:dyDescent="0.5">
      <c r="A1" s="20" t="s">
        <v>5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" customFormat="1" ht="20.5" x14ac:dyDescent="0.45">
      <c r="A2" s="1" t="s">
        <v>13</v>
      </c>
      <c r="B2" s="1" t="s">
        <v>29</v>
      </c>
      <c r="C2" s="1" t="s">
        <v>30</v>
      </c>
      <c r="D2" s="1" t="s">
        <v>23</v>
      </c>
      <c r="E2" s="1" t="s">
        <v>24</v>
      </c>
      <c r="F2" s="1" t="s">
        <v>25</v>
      </c>
      <c r="G2" s="1" t="s">
        <v>16</v>
      </c>
      <c r="H2" s="12" t="s">
        <v>208</v>
      </c>
      <c r="I2" s="12" t="s">
        <v>209</v>
      </c>
      <c r="J2" s="1" t="s">
        <v>210</v>
      </c>
      <c r="K2" s="1" t="s">
        <v>211</v>
      </c>
    </row>
    <row r="4" spans="1:11" x14ac:dyDescent="0.35">
      <c r="A4" s="3" t="s">
        <v>256</v>
      </c>
      <c r="B4" s="3" t="s">
        <v>113</v>
      </c>
      <c r="C4" s="3" t="s">
        <v>241</v>
      </c>
      <c r="D4" s="3" t="s">
        <v>257</v>
      </c>
      <c r="E4" s="3" t="s">
        <v>215</v>
      </c>
      <c r="F4" s="3" t="s">
        <v>232</v>
      </c>
      <c r="G4" s="3">
        <v>1</v>
      </c>
      <c r="H4" s="3" t="s">
        <v>233</v>
      </c>
      <c r="I4" s="3" t="s">
        <v>199</v>
      </c>
      <c r="J4" s="3" t="s">
        <v>258</v>
      </c>
      <c r="K4" s="3">
        <v>1.5</v>
      </c>
    </row>
    <row r="5" spans="1:11" x14ac:dyDescent="0.35">
      <c r="A5" s="3" t="s">
        <v>249</v>
      </c>
      <c r="B5" s="3" t="s">
        <v>113</v>
      </c>
      <c r="C5" s="3" t="s">
        <v>241</v>
      </c>
      <c r="D5" s="3">
        <v>3068</v>
      </c>
      <c r="E5" s="3" t="s">
        <v>215</v>
      </c>
      <c r="F5" s="3" t="s">
        <v>232</v>
      </c>
      <c r="G5" s="3">
        <v>1</v>
      </c>
      <c r="H5" s="3" t="s">
        <v>233</v>
      </c>
      <c r="I5" s="3" t="s">
        <v>199</v>
      </c>
      <c r="J5" s="3" t="s">
        <v>258</v>
      </c>
      <c r="K5" s="3">
        <v>1.5</v>
      </c>
    </row>
    <row r="6" spans="1:11" x14ac:dyDescent="0.35">
      <c r="A6" s="3" t="s">
        <v>259</v>
      </c>
      <c r="B6" s="3" t="s">
        <v>113</v>
      </c>
      <c r="C6" s="3" t="s">
        <v>260</v>
      </c>
      <c r="D6" s="3" t="s">
        <v>261</v>
      </c>
      <c r="E6" s="3" t="s">
        <v>195</v>
      </c>
      <c r="F6" s="3" t="s">
        <v>232</v>
      </c>
      <c r="G6" s="3">
        <v>1</v>
      </c>
      <c r="H6" s="3" t="s">
        <v>233</v>
      </c>
      <c r="I6" s="3" t="s">
        <v>192</v>
      </c>
      <c r="J6" s="3" t="s">
        <v>262</v>
      </c>
      <c r="K6" s="3">
        <v>1.5</v>
      </c>
    </row>
    <row r="7" spans="1:11" x14ac:dyDescent="0.35">
      <c r="A7" s="3" t="s">
        <v>227</v>
      </c>
      <c r="J7" s="3" t="s">
        <v>263</v>
      </c>
    </row>
  </sheetData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16E60-907B-45E8-90D7-DA66C41BF803}">
  <sheetPr codeName="Sheet7"/>
  <dimension ref="A1:K19"/>
  <sheetViews>
    <sheetView topLeftCell="B1" zoomScaleNormal="100" workbookViewId="0">
      <selection sqref="A1:J1"/>
    </sheetView>
  </sheetViews>
  <sheetFormatPr defaultColWidth="9.1796875" defaultRowHeight="14.5" x14ac:dyDescent="0.35"/>
  <cols>
    <col min="1" max="1" width="44.7265625" style="3" bestFit="1" customWidth="1"/>
    <col min="2" max="2" width="25.1796875" style="3" bestFit="1" customWidth="1"/>
    <col min="3" max="3" width="15.1796875" style="3" bestFit="1" customWidth="1"/>
    <col min="4" max="4" width="7.81640625" style="3" bestFit="1" customWidth="1"/>
    <col min="5" max="5" width="9.269531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6384" width="9.1796875" style="3"/>
  </cols>
  <sheetData>
    <row r="1" spans="1:11" ht="23" x14ac:dyDescent="0.5">
      <c r="A1" s="20" t="s">
        <v>6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208</v>
      </c>
      <c r="I2" s="12" t="s">
        <v>209</v>
      </c>
      <c r="J2" s="12" t="s">
        <v>210</v>
      </c>
      <c r="K2" s="12" t="s">
        <v>211</v>
      </c>
    </row>
    <row r="4" spans="1:11" x14ac:dyDescent="0.35">
      <c r="A4" s="3" t="s">
        <v>229</v>
      </c>
      <c r="B4" s="3" t="s">
        <v>116</v>
      </c>
      <c r="C4" s="3" t="s">
        <v>230</v>
      </c>
      <c r="D4" s="3" t="s">
        <v>231</v>
      </c>
      <c r="E4" s="3" t="s">
        <v>215</v>
      </c>
      <c r="F4" s="3" t="s">
        <v>232</v>
      </c>
      <c r="G4" s="3">
        <v>1</v>
      </c>
      <c r="H4" s="3" t="s">
        <v>233</v>
      </c>
      <c r="I4" s="3" t="s">
        <v>199</v>
      </c>
      <c r="J4" s="5" t="s">
        <v>234</v>
      </c>
      <c r="K4" s="3">
        <v>2.6</v>
      </c>
    </row>
    <row r="5" spans="1:11" x14ac:dyDescent="0.35">
      <c r="A5" s="3" t="s">
        <v>235</v>
      </c>
      <c r="B5" s="3" t="s">
        <v>116</v>
      </c>
      <c r="C5" s="3" t="s">
        <v>230</v>
      </c>
      <c r="D5" s="3" t="s">
        <v>236</v>
      </c>
      <c r="E5" s="3" t="s">
        <v>199</v>
      </c>
      <c r="F5" s="3" t="s">
        <v>232</v>
      </c>
      <c r="G5" s="3">
        <v>1</v>
      </c>
      <c r="H5" s="3" t="s">
        <v>233</v>
      </c>
      <c r="I5" s="3" t="s">
        <v>195</v>
      </c>
      <c r="J5" s="5" t="s">
        <v>237</v>
      </c>
      <c r="K5" s="3">
        <v>2.8</v>
      </c>
    </row>
    <row r="6" spans="1:11" x14ac:dyDescent="0.35">
      <c r="A6" s="3" t="s">
        <v>238</v>
      </c>
      <c r="B6" s="3" t="s">
        <v>116</v>
      </c>
      <c r="C6" s="3" t="s">
        <v>230</v>
      </c>
      <c r="D6" s="3" t="s">
        <v>239</v>
      </c>
      <c r="E6" s="3" t="s">
        <v>195</v>
      </c>
      <c r="F6" s="3" t="s">
        <v>232</v>
      </c>
      <c r="G6" s="3">
        <v>1</v>
      </c>
      <c r="H6" s="3" t="s">
        <v>233</v>
      </c>
      <c r="I6" s="3" t="s">
        <v>192</v>
      </c>
      <c r="J6" s="5" t="s">
        <v>218</v>
      </c>
      <c r="K6" s="3">
        <v>2.9</v>
      </c>
    </row>
    <row r="7" spans="1:11" x14ac:dyDescent="0.35">
      <c r="A7" s="3" t="s">
        <v>240</v>
      </c>
      <c r="B7" s="3" t="s">
        <v>116</v>
      </c>
      <c r="C7" s="3" t="s">
        <v>241</v>
      </c>
      <c r="D7" s="3">
        <v>2068</v>
      </c>
      <c r="E7" s="3" t="s">
        <v>198</v>
      </c>
      <c r="F7" s="3" t="s">
        <v>232</v>
      </c>
      <c r="G7" s="3">
        <v>1</v>
      </c>
      <c r="H7" s="3" t="s">
        <v>233</v>
      </c>
      <c r="I7" s="3" t="s">
        <v>215</v>
      </c>
      <c r="J7" s="5" t="s">
        <v>242</v>
      </c>
      <c r="K7" s="3">
        <v>2.5</v>
      </c>
    </row>
    <row r="8" spans="1:11" x14ac:dyDescent="0.35">
      <c r="A8" s="3" t="s">
        <v>243</v>
      </c>
      <c r="B8" s="3" t="s">
        <v>116</v>
      </c>
      <c r="C8" s="3" t="s">
        <v>241</v>
      </c>
      <c r="D8" s="3">
        <v>2668</v>
      </c>
      <c r="E8" s="3" t="s">
        <v>244</v>
      </c>
      <c r="F8" s="3" t="s">
        <v>232</v>
      </c>
      <c r="G8" s="3">
        <v>1</v>
      </c>
      <c r="H8" s="3" t="s">
        <v>233</v>
      </c>
      <c r="I8" s="3" t="s">
        <v>221</v>
      </c>
      <c r="J8" s="5" t="s">
        <v>245</v>
      </c>
      <c r="K8" s="3">
        <v>2.5</v>
      </c>
    </row>
    <row r="9" spans="1:11" x14ac:dyDescent="0.35">
      <c r="A9" s="3" t="s">
        <v>243</v>
      </c>
      <c r="B9" s="3" t="s">
        <v>116</v>
      </c>
      <c r="C9" s="3" t="s">
        <v>241</v>
      </c>
      <c r="D9" s="3">
        <v>2668</v>
      </c>
      <c r="E9" s="3" t="s">
        <v>244</v>
      </c>
      <c r="F9" s="3" t="s">
        <v>232</v>
      </c>
      <c r="G9" s="3">
        <v>1</v>
      </c>
      <c r="H9" s="3" t="s">
        <v>233</v>
      </c>
      <c r="I9" s="3" t="s">
        <v>221</v>
      </c>
      <c r="J9" s="5" t="s">
        <v>245</v>
      </c>
      <c r="K9" s="3">
        <v>2.5</v>
      </c>
    </row>
    <row r="10" spans="1:11" x14ac:dyDescent="0.35">
      <c r="A10" s="3" t="s">
        <v>243</v>
      </c>
      <c r="B10" s="3" t="s">
        <v>116</v>
      </c>
      <c r="C10" s="3" t="s">
        <v>241</v>
      </c>
      <c r="D10" s="3">
        <v>2668</v>
      </c>
      <c r="E10" s="3" t="s">
        <v>244</v>
      </c>
      <c r="F10" s="3" t="s">
        <v>232</v>
      </c>
      <c r="G10" s="3">
        <v>1</v>
      </c>
      <c r="H10" s="3" t="s">
        <v>233</v>
      </c>
      <c r="I10" s="3" t="s">
        <v>221</v>
      </c>
      <c r="J10" s="5" t="s">
        <v>245</v>
      </c>
      <c r="K10" s="3">
        <v>2.5</v>
      </c>
    </row>
    <row r="11" spans="1:11" x14ac:dyDescent="0.35">
      <c r="A11" s="3" t="s">
        <v>243</v>
      </c>
      <c r="B11" s="3" t="s">
        <v>116</v>
      </c>
      <c r="C11" s="3" t="s">
        <v>241</v>
      </c>
      <c r="D11" s="3">
        <v>2668</v>
      </c>
      <c r="E11" s="3" t="s">
        <v>244</v>
      </c>
      <c r="F11" s="3" t="s">
        <v>232</v>
      </c>
      <c r="G11" s="3">
        <v>1</v>
      </c>
      <c r="H11" s="3" t="s">
        <v>233</v>
      </c>
      <c r="I11" s="3" t="s">
        <v>221</v>
      </c>
      <c r="J11" s="5" t="s">
        <v>245</v>
      </c>
      <c r="K11" s="3">
        <v>2.5</v>
      </c>
    </row>
    <row r="12" spans="1:11" x14ac:dyDescent="0.35">
      <c r="A12" s="3" t="s">
        <v>243</v>
      </c>
      <c r="B12" s="3" t="s">
        <v>116</v>
      </c>
      <c r="C12" s="3" t="s">
        <v>241</v>
      </c>
      <c r="D12" s="3">
        <v>2668</v>
      </c>
      <c r="E12" s="3" t="s">
        <v>244</v>
      </c>
      <c r="F12" s="3" t="s">
        <v>232</v>
      </c>
      <c r="G12" s="3">
        <v>1</v>
      </c>
      <c r="H12" s="3" t="s">
        <v>233</v>
      </c>
      <c r="I12" s="3" t="s">
        <v>221</v>
      </c>
      <c r="J12" s="5" t="s">
        <v>245</v>
      </c>
      <c r="K12" s="3">
        <v>2.5</v>
      </c>
    </row>
    <row r="13" spans="1:11" x14ac:dyDescent="0.35">
      <c r="A13" s="3" t="s">
        <v>243</v>
      </c>
      <c r="B13" s="3" t="s">
        <v>116</v>
      </c>
      <c r="C13" s="3" t="s">
        <v>241</v>
      </c>
      <c r="D13" s="3">
        <v>2668</v>
      </c>
      <c r="E13" s="3" t="s">
        <v>244</v>
      </c>
      <c r="F13" s="3" t="s">
        <v>232</v>
      </c>
      <c r="G13" s="3">
        <v>1</v>
      </c>
      <c r="H13" s="3" t="s">
        <v>233</v>
      </c>
      <c r="I13" s="3" t="s">
        <v>221</v>
      </c>
      <c r="J13" s="5" t="s">
        <v>245</v>
      </c>
      <c r="K13" s="3">
        <v>2.5</v>
      </c>
    </row>
    <row r="14" spans="1:11" x14ac:dyDescent="0.35">
      <c r="A14" s="3" t="s">
        <v>246</v>
      </c>
      <c r="B14" s="3" t="s">
        <v>116</v>
      </c>
      <c r="C14" s="3" t="s">
        <v>241</v>
      </c>
      <c r="D14" s="3">
        <v>2868</v>
      </c>
      <c r="E14" s="3" t="s">
        <v>202</v>
      </c>
      <c r="F14" s="3" t="s">
        <v>232</v>
      </c>
      <c r="G14" s="3">
        <v>1</v>
      </c>
      <c r="H14" s="3" t="s">
        <v>233</v>
      </c>
      <c r="I14" s="3" t="s">
        <v>247</v>
      </c>
      <c r="J14" s="5" t="s">
        <v>248</v>
      </c>
      <c r="K14" s="3">
        <v>2.6</v>
      </c>
    </row>
    <row r="15" spans="1:11" x14ac:dyDescent="0.35">
      <c r="A15" s="3" t="s">
        <v>246</v>
      </c>
      <c r="B15" s="3" t="s">
        <v>116</v>
      </c>
      <c r="C15" s="3" t="s">
        <v>241</v>
      </c>
      <c r="D15" s="3">
        <v>2868</v>
      </c>
      <c r="E15" s="3" t="s">
        <v>202</v>
      </c>
      <c r="F15" s="3" t="s">
        <v>232</v>
      </c>
      <c r="G15" s="3">
        <v>1</v>
      </c>
      <c r="H15" s="3" t="s">
        <v>233</v>
      </c>
      <c r="I15" s="3" t="s">
        <v>247</v>
      </c>
      <c r="J15" s="5" t="s">
        <v>248</v>
      </c>
      <c r="K15" s="3">
        <v>2.6</v>
      </c>
    </row>
    <row r="16" spans="1:11" x14ac:dyDescent="0.35">
      <c r="A16" s="3" t="s">
        <v>249</v>
      </c>
      <c r="B16" s="3" t="s">
        <v>116</v>
      </c>
      <c r="C16" s="3" t="s">
        <v>241</v>
      </c>
      <c r="D16" s="3">
        <v>3068</v>
      </c>
      <c r="E16" s="3" t="s">
        <v>215</v>
      </c>
      <c r="F16" s="3" t="s">
        <v>232</v>
      </c>
      <c r="G16" s="3">
        <v>1</v>
      </c>
      <c r="H16" s="3" t="s">
        <v>233</v>
      </c>
      <c r="I16" s="3" t="s">
        <v>199</v>
      </c>
      <c r="J16" s="5" t="s">
        <v>234</v>
      </c>
      <c r="K16" s="3">
        <v>2.6</v>
      </c>
    </row>
    <row r="17" spans="1:11" x14ac:dyDescent="0.35">
      <c r="A17" s="3" t="s">
        <v>250</v>
      </c>
      <c r="B17" s="3" t="s">
        <v>116</v>
      </c>
      <c r="C17" s="3" t="s">
        <v>241</v>
      </c>
      <c r="D17" s="3">
        <v>21068</v>
      </c>
      <c r="E17" s="3" t="s">
        <v>251</v>
      </c>
      <c r="F17" s="3" t="s">
        <v>232</v>
      </c>
      <c r="G17" s="3">
        <v>1</v>
      </c>
      <c r="H17" s="3" t="s">
        <v>233</v>
      </c>
      <c r="I17" s="3" t="s">
        <v>252</v>
      </c>
      <c r="J17" s="5" t="s">
        <v>253</v>
      </c>
      <c r="K17" s="3">
        <v>2.6</v>
      </c>
    </row>
    <row r="18" spans="1:11" x14ac:dyDescent="0.35">
      <c r="A18" s="3" t="s">
        <v>250</v>
      </c>
      <c r="B18" s="3" t="s">
        <v>116</v>
      </c>
      <c r="C18" s="3" t="s">
        <v>241</v>
      </c>
      <c r="D18" s="3">
        <v>21068</v>
      </c>
      <c r="E18" s="3" t="s">
        <v>251</v>
      </c>
      <c r="F18" s="3" t="s">
        <v>232</v>
      </c>
      <c r="G18" s="3">
        <v>1</v>
      </c>
      <c r="H18" s="3" t="s">
        <v>233</v>
      </c>
      <c r="I18" s="3" t="s">
        <v>252</v>
      </c>
      <c r="J18" s="5" t="s">
        <v>253</v>
      </c>
      <c r="K18" s="3">
        <v>2.6</v>
      </c>
    </row>
    <row r="19" spans="1:11" x14ac:dyDescent="0.35">
      <c r="A19" s="3" t="s">
        <v>254</v>
      </c>
      <c r="J19" s="5" t="s">
        <v>255</v>
      </c>
      <c r="K19" s="3">
        <v>39</v>
      </c>
    </row>
  </sheetData>
  <mergeCells count="1">
    <mergeCell ref="A1:J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BADF-E752-473A-B0F2-A8EF61D4773A}">
  <sheetPr codeName="Sheet8"/>
  <dimension ref="A1:K7"/>
  <sheetViews>
    <sheetView zoomScale="85" zoomScaleNormal="85" workbookViewId="0">
      <selection sqref="A1:K1"/>
    </sheetView>
  </sheetViews>
  <sheetFormatPr defaultColWidth="9.1796875" defaultRowHeight="14.5" x14ac:dyDescent="0.35"/>
  <cols>
    <col min="1" max="1" width="55.7265625" style="3" bestFit="1" customWidth="1"/>
    <col min="2" max="2" width="25.26953125" style="3" customWidth="1"/>
    <col min="3" max="3" width="15.1796875" style="3" bestFit="1" customWidth="1"/>
    <col min="4" max="4" width="28.7265625" style="3" bestFit="1" customWidth="1"/>
    <col min="5" max="5" width="8.81640625" style="3" bestFit="1" customWidth="1"/>
    <col min="6" max="6" width="10.453125" style="3" bestFit="1" customWidth="1"/>
    <col min="7" max="7" width="9.26953125" style="3" bestFit="1" customWidth="1"/>
    <col min="8" max="8" width="32.453125" style="3" bestFit="1" customWidth="1"/>
    <col min="9" max="9" width="31.54296875" style="3" bestFit="1" customWidth="1"/>
    <col min="10" max="10" width="28.7265625" style="5" bestFit="1" customWidth="1"/>
    <col min="11" max="11" width="25.7265625" style="3" customWidth="1"/>
    <col min="12" max="16384" width="9.1796875" style="3"/>
  </cols>
  <sheetData>
    <row r="1" spans="1:11" ht="23" x14ac:dyDescent="0.5">
      <c r="A1" s="20" t="s">
        <v>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s="12" customFormat="1" ht="20.5" x14ac:dyDescent="0.45">
      <c r="A2" s="12" t="s">
        <v>13</v>
      </c>
      <c r="B2" s="12" t="s">
        <v>29</v>
      </c>
      <c r="C2" s="12" t="s">
        <v>30</v>
      </c>
      <c r="D2" s="12" t="s">
        <v>23</v>
      </c>
      <c r="E2" s="12" t="s">
        <v>24</v>
      </c>
      <c r="F2" s="12" t="s">
        <v>25</v>
      </c>
      <c r="G2" s="12" t="s">
        <v>16</v>
      </c>
      <c r="H2" s="12" t="s">
        <v>208</v>
      </c>
      <c r="I2" s="12" t="s">
        <v>209</v>
      </c>
      <c r="J2" s="12" t="s">
        <v>210</v>
      </c>
      <c r="K2" s="12" t="s">
        <v>211</v>
      </c>
    </row>
    <row r="4" spans="1:11" x14ac:dyDescent="0.35">
      <c r="A4" s="3" t="s">
        <v>212</v>
      </c>
      <c r="C4" s="3" t="s">
        <v>213</v>
      </c>
      <c r="D4" s="3" t="s">
        <v>214</v>
      </c>
      <c r="E4" s="3" t="s">
        <v>215</v>
      </c>
      <c r="F4" s="3" t="s">
        <v>216</v>
      </c>
      <c r="G4" s="3">
        <v>1</v>
      </c>
      <c r="H4" s="3" t="s">
        <v>217</v>
      </c>
      <c r="I4" s="3" t="s">
        <v>199</v>
      </c>
      <c r="J4" s="5" t="s">
        <v>218</v>
      </c>
      <c r="K4" s="3">
        <v>2.9</v>
      </c>
    </row>
    <row r="5" spans="1:11" x14ac:dyDescent="0.35">
      <c r="A5" s="3" t="s">
        <v>219</v>
      </c>
      <c r="C5" s="3" t="s">
        <v>213</v>
      </c>
      <c r="D5" s="3" t="s">
        <v>220</v>
      </c>
      <c r="E5" s="3" t="s">
        <v>221</v>
      </c>
      <c r="F5" s="3" t="s">
        <v>216</v>
      </c>
      <c r="G5" s="3">
        <v>1</v>
      </c>
      <c r="H5" s="3" t="s">
        <v>217</v>
      </c>
      <c r="I5" s="3" t="s">
        <v>222</v>
      </c>
      <c r="J5" s="5" t="s">
        <v>223</v>
      </c>
      <c r="K5" s="3">
        <v>3</v>
      </c>
    </row>
    <row r="6" spans="1:11" x14ac:dyDescent="0.35">
      <c r="A6" s="3" t="s">
        <v>224</v>
      </c>
      <c r="C6" s="3" t="s">
        <v>213</v>
      </c>
      <c r="D6" s="3" t="s">
        <v>225</v>
      </c>
      <c r="E6" s="3" t="s">
        <v>199</v>
      </c>
      <c r="F6" s="3" t="s">
        <v>216</v>
      </c>
      <c r="G6" s="3">
        <v>1</v>
      </c>
      <c r="H6" s="3" t="s">
        <v>217</v>
      </c>
      <c r="I6" s="3" t="s">
        <v>195</v>
      </c>
      <c r="J6" s="5" t="s">
        <v>226</v>
      </c>
      <c r="K6" s="3">
        <v>3</v>
      </c>
    </row>
    <row r="7" spans="1:11" x14ac:dyDescent="0.35">
      <c r="A7" s="3" t="s">
        <v>227</v>
      </c>
      <c r="J7" s="5" t="s">
        <v>228</v>
      </c>
      <c r="K7" s="3">
        <v>8.9</v>
      </c>
    </row>
  </sheetData>
  <mergeCells count="1">
    <mergeCell ref="A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3AC02-4629-4B62-A61B-15AC938EC157}">
  <sheetPr codeName="Sheet9"/>
  <dimension ref="A1:H10"/>
  <sheetViews>
    <sheetView workbookViewId="0">
      <selection sqref="A1:H1"/>
    </sheetView>
  </sheetViews>
  <sheetFormatPr defaultColWidth="9.1796875" defaultRowHeight="14.5" x14ac:dyDescent="0.35"/>
  <cols>
    <col min="1" max="1" width="25.81640625" style="3" bestFit="1" customWidth="1"/>
    <col min="2" max="2" width="11.54296875" style="3" customWidth="1"/>
    <col min="3" max="3" width="11.81640625" style="3" customWidth="1"/>
    <col min="4" max="4" width="13.7265625" style="3" customWidth="1"/>
    <col min="5" max="5" width="22.81640625" style="5" customWidth="1"/>
    <col min="6" max="6" width="34.1796875" style="3" customWidth="1"/>
    <col min="7" max="7" width="30.453125" style="3" customWidth="1"/>
    <col min="8" max="8" width="23.1796875" style="3" bestFit="1" customWidth="1"/>
    <col min="9" max="16384" width="9.1796875" style="3"/>
  </cols>
  <sheetData>
    <row r="1" spans="1:8" ht="23" x14ac:dyDescent="0.5">
      <c r="A1" s="20" t="s">
        <v>8</v>
      </c>
      <c r="B1" s="20"/>
      <c r="C1" s="20"/>
      <c r="D1" s="20"/>
      <c r="E1" s="20"/>
      <c r="F1" s="20"/>
      <c r="G1" s="20"/>
      <c r="H1" s="20"/>
    </row>
    <row r="2" spans="1:8" s="1" customFormat="1" ht="20.5" x14ac:dyDescent="0.45">
      <c r="A2" s="1" t="s">
        <v>13</v>
      </c>
      <c r="B2" s="1" t="s">
        <v>16</v>
      </c>
      <c r="C2" s="1" t="s">
        <v>24</v>
      </c>
      <c r="D2" s="1" t="s">
        <v>25</v>
      </c>
      <c r="E2" s="1" t="s">
        <v>26</v>
      </c>
      <c r="F2" s="12" t="s">
        <v>27</v>
      </c>
      <c r="G2" s="1" t="s">
        <v>28</v>
      </c>
      <c r="H2" s="1" t="s">
        <v>185</v>
      </c>
    </row>
    <row r="4" spans="1:8" x14ac:dyDescent="0.35">
      <c r="A4" s="3" t="s">
        <v>186</v>
      </c>
      <c r="B4" s="3">
        <v>1</v>
      </c>
      <c r="C4" s="3" t="s">
        <v>187</v>
      </c>
      <c r="D4" s="3" t="s">
        <v>188</v>
      </c>
      <c r="E4" s="5" t="s">
        <v>189</v>
      </c>
      <c r="F4" s="3">
        <v>0.5</v>
      </c>
      <c r="G4" s="3">
        <v>0.5</v>
      </c>
      <c r="H4" s="3">
        <v>1</v>
      </c>
    </row>
    <row r="5" spans="1:8" x14ac:dyDescent="0.35">
      <c r="A5" s="3" t="s">
        <v>190</v>
      </c>
      <c r="B5" s="3">
        <v>1</v>
      </c>
      <c r="C5" s="3" t="s">
        <v>191</v>
      </c>
      <c r="D5" s="3" t="s">
        <v>192</v>
      </c>
      <c r="E5" s="5" t="s">
        <v>193</v>
      </c>
      <c r="F5" s="3">
        <v>0.5</v>
      </c>
      <c r="G5" s="3">
        <v>0.5</v>
      </c>
      <c r="H5" s="3">
        <v>1</v>
      </c>
    </row>
    <row r="6" spans="1:8" x14ac:dyDescent="0.35">
      <c r="A6" s="3" t="s">
        <v>194</v>
      </c>
      <c r="B6" s="3">
        <v>1</v>
      </c>
      <c r="C6" s="3" t="s">
        <v>192</v>
      </c>
      <c r="D6" s="3" t="s">
        <v>195</v>
      </c>
      <c r="E6" s="5" t="s">
        <v>196</v>
      </c>
      <c r="F6" s="3">
        <v>0.5</v>
      </c>
      <c r="G6" s="3">
        <v>0.5</v>
      </c>
      <c r="H6" s="3">
        <v>1</v>
      </c>
    </row>
    <row r="7" spans="1:8" x14ac:dyDescent="0.35">
      <c r="A7" s="3" t="s">
        <v>197</v>
      </c>
      <c r="B7" s="3">
        <v>1</v>
      </c>
      <c r="C7" s="3" t="s">
        <v>198</v>
      </c>
      <c r="D7" s="3" t="s">
        <v>199</v>
      </c>
      <c r="E7" s="5" t="s">
        <v>200</v>
      </c>
      <c r="F7" s="3">
        <v>0.5</v>
      </c>
      <c r="G7" s="3">
        <v>0.5</v>
      </c>
      <c r="H7" s="3">
        <v>1</v>
      </c>
    </row>
    <row r="8" spans="1:8" x14ac:dyDescent="0.35">
      <c r="A8" s="3" t="s">
        <v>201</v>
      </c>
      <c r="B8" s="3">
        <v>3</v>
      </c>
      <c r="C8" s="3" t="s">
        <v>202</v>
      </c>
      <c r="D8" s="3" t="s">
        <v>192</v>
      </c>
      <c r="E8" s="5" t="s">
        <v>203</v>
      </c>
      <c r="F8" s="3">
        <v>0.5</v>
      </c>
      <c r="G8" s="3">
        <v>0.5</v>
      </c>
      <c r="H8" s="3">
        <v>3</v>
      </c>
    </row>
    <row r="9" spans="1:8" x14ac:dyDescent="0.35">
      <c r="A9" s="3" t="s">
        <v>204</v>
      </c>
      <c r="B9" s="3">
        <v>1</v>
      </c>
      <c r="C9" s="3" t="s">
        <v>72</v>
      </c>
      <c r="D9" s="3" t="s">
        <v>192</v>
      </c>
      <c r="E9" s="5" t="s">
        <v>205</v>
      </c>
      <c r="F9" s="3">
        <v>0.5</v>
      </c>
      <c r="G9" s="3">
        <v>0.5</v>
      </c>
      <c r="H9" s="3">
        <v>1</v>
      </c>
    </row>
    <row r="10" spans="1:8" x14ac:dyDescent="0.35">
      <c r="A10" s="3" t="s">
        <v>206</v>
      </c>
      <c r="E10" s="5" t="s">
        <v>207</v>
      </c>
      <c r="H10" s="3">
        <v>8</v>
      </c>
    </row>
  </sheetData>
  <mergeCells count="1">
    <mergeCell ref="A1:H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CA1DE-415B-4F14-86AF-C87DAE749705}">
  <sheetPr codeName="Sheet10"/>
  <dimension ref="A1:L10"/>
  <sheetViews>
    <sheetView workbookViewId="0"/>
  </sheetViews>
  <sheetFormatPr defaultColWidth="9.1796875" defaultRowHeight="14.5" x14ac:dyDescent="0.35"/>
  <cols>
    <col min="1" max="1" width="31.1796875" style="3" bestFit="1" customWidth="1"/>
    <col min="2" max="2" width="33.81640625" style="3" bestFit="1" customWidth="1"/>
    <col min="3" max="3" width="8.54296875" style="3" bestFit="1" customWidth="1"/>
    <col min="4" max="4" width="40" style="3" bestFit="1" customWidth="1"/>
    <col min="5" max="5" width="19.453125" style="3" bestFit="1" customWidth="1"/>
    <col min="6" max="6" width="28.54296875" style="5" bestFit="1" customWidth="1"/>
    <col min="7" max="16384" width="9.1796875" style="3"/>
  </cols>
  <sheetData>
    <row r="1" spans="1:12" ht="23" x14ac:dyDescent="0.5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s="1" customFormat="1" ht="20.5" x14ac:dyDescent="0.45">
      <c r="A2" s="1" t="s">
        <v>67</v>
      </c>
      <c r="B2" s="1" t="s">
        <v>23</v>
      </c>
      <c r="C2" s="1" t="s">
        <v>16</v>
      </c>
    </row>
    <row r="4" spans="1:12" x14ac:dyDescent="0.35">
      <c r="A4" s="3" t="s">
        <v>173</v>
      </c>
      <c r="B4" s="3" t="s">
        <v>174</v>
      </c>
      <c r="C4" s="3">
        <v>11</v>
      </c>
    </row>
    <row r="5" spans="1:12" x14ac:dyDescent="0.35">
      <c r="A5" s="3" t="s">
        <v>175</v>
      </c>
      <c r="B5" s="3" t="s">
        <v>169</v>
      </c>
      <c r="C5" s="3">
        <v>28</v>
      </c>
    </row>
    <row r="6" spans="1:12" x14ac:dyDescent="0.35">
      <c r="A6" s="3" t="s">
        <v>176</v>
      </c>
      <c r="B6" s="3" t="s">
        <v>177</v>
      </c>
      <c r="C6" s="3">
        <v>10</v>
      </c>
    </row>
    <row r="7" spans="1:12" x14ac:dyDescent="0.35">
      <c r="A7" s="3" t="s">
        <v>178</v>
      </c>
      <c r="B7" s="3" t="s">
        <v>179</v>
      </c>
      <c r="C7" s="3">
        <v>6</v>
      </c>
    </row>
    <row r="8" spans="1:12" x14ac:dyDescent="0.35">
      <c r="A8" s="3" t="s">
        <v>180</v>
      </c>
      <c r="B8" s="3" t="s">
        <v>181</v>
      </c>
      <c r="C8" s="3">
        <v>6</v>
      </c>
    </row>
    <row r="9" spans="1:12" x14ac:dyDescent="0.35">
      <c r="A9" s="3" t="s">
        <v>182</v>
      </c>
      <c r="B9" s="3" t="s">
        <v>183</v>
      </c>
      <c r="C9" s="3">
        <v>1</v>
      </c>
    </row>
    <row r="10" spans="1:12" x14ac:dyDescent="0.35">
      <c r="A10" s="3" t="s">
        <v>184</v>
      </c>
      <c r="C10" s="3">
        <v>62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4C99E-C1EA-434D-9B51-C1ADC24D4C19}">
  <sheetPr codeName="Sheet11"/>
  <dimension ref="A1:F5"/>
  <sheetViews>
    <sheetView workbookViewId="0">
      <selection sqref="A1:F1"/>
    </sheetView>
  </sheetViews>
  <sheetFormatPr defaultColWidth="9.1796875" defaultRowHeight="14.5" x14ac:dyDescent="0.35"/>
  <cols>
    <col min="1" max="1" width="35.54296875" style="3" bestFit="1" customWidth="1"/>
    <col min="2" max="3" width="24" style="3" bestFit="1" customWidth="1"/>
    <col min="4" max="4" width="18.7265625" style="5" bestFit="1" customWidth="1"/>
    <col min="5" max="5" width="18.7265625" style="3" bestFit="1" customWidth="1"/>
    <col min="6" max="16384" width="9.1796875" style="3"/>
  </cols>
  <sheetData>
    <row r="1" spans="1:6" ht="23" x14ac:dyDescent="0.5">
      <c r="A1" s="20" t="s">
        <v>10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168</v>
      </c>
      <c r="C2" s="1" t="s">
        <v>21</v>
      </c>
      <c r="D2" s="1" t="s">
        <v>22</v>
      </c>
      <c r="E2" s="1" t="s">
        <v>19</v>
      </c>
      <c r="F2" s="1" t="s">
        <v>16</v>
      </c>
    </row>
    <row r="4" spans="1:6" x14ac:dyDescent="0.35">
      <c r="A4" s="3" t="s">
        <v>169</v>
      </c>
      <c r="B4" s="3" t="s">
        <v>169</v>
      </c>
      <c r="C4" s="3" t="s">
        <v>170</v>
      </c>
      <c r="D4" s="5" t="s">
        <v>171</v>
      </c>
      <c r="E4" s="3">
        <v>37.76</v>
      </c>
      <c r="F4" s="3">
        <v>10</v>
      </c>
    </row>
    <row r="5" spans="1:6" x14ac:dyDescent="0.35">
      <c r="A5" s="3" t="s">
        <v>172</v>
      </c>
      <c r="D5" s="5" t="s">
        <v>171</v>
      </c>
      <c r="E5" s="3">
        <v>37.76</v>
      </c>
      <c r="F5" s="3">
        <v>10</v>
      </c>
    </row>
  </sheetData>
  <mergeCells count="1">
    <mergeCell ref="A1:F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BC3BA-1EC5-4535-9132-3C0C17EB551C}">
  <sheetPr codeName="Sheet14"/>
  <dimension ref="A1:J51"/>
  <sheetViews>
    <sheetView zoomScale="85" zoomScaleNormal="85" workbookViewId="0">
      <selection sqref="A1:J1"/>
    </sheetView>
  </sheetViews>
  <sheetFormatPr defaultColWidth="9.1796875" defaultRowHeight="14.5" x14ac:dyDescent="0.35"/>
  <cols>
    <col min="1" max="1" width="51.54296875" style="3" customWidth="1"/>
    <col min="2" max="2" width="18.453125" style="3" bestFit="1" customWidth="1"/>
    <col min="3" max="3" width="37.453125" style="3" customWidth="1"/>
    <col min="4" max="4" width="12.453125" style="3" customWidth="1"/>
    <col min="5" max="5" width="19.453125" style="3" bestFit="1" customWidth="1"/>
    <col min="6" max="6" width="12.453125" style="3" customWidth="1"/>
    <col min="7" max="7" width="12.453125" style="13" customWidth="1"/>
    <col min="8" max="8" width="17.54296875" style="3" bestFit="1" customWidth="1"/>
    <col min="9" max="9" width="15" style="3" bestFit="1" customWidth="1"/>
    <col min="10" max="10" width="28.54296875" style="3" bestFit="1" customWidth="1"/>
    <col min="11" max="16384" width="9.1796875" style="3"/>
  </cols>
  <sheetData>
    <row r="1" spans="1:10" s="13" customFormat="1" ht="23" x14ac:dyDescent="0.5">
      <c r="A1" s="20" t="s">
        <v>45</v>
      </c>
      <c r="B1" s="20"/>
      <c r="C1" s="20"/>
      <c r="D1" s="20"/>
      <c r="E1" s="20"/>
      <c r="F1" s="20"/>
      <c r="G1" s="20"/>
      <c r="H1" s="20"/>
      <c r="I1" s="20"/>
      <c r="J1" s="20"/>
    </row>
    <row r="2" spans="1:10" s="12" customFormat="1" ht="20.5" x14ac:dyDescent="0.45">
      <c r="A2" s="12" t="s">
        <v>17</v>
      </c>
      <c r="B2" s="12" t="s">
        <v>14</v>
      </c>
      <c r="C2" s="12" t="s">
        <v>139</v>
      </c>
      <c r="D2" s="12" t="s">
        <v>140</v>
      </c>
      <c r="E2" s="12" t="s">
        <v>141</v>
      </c>
      <c r="F2" s="10" t="s">
        <v>142</v>
      </c>
      <c r="G2" s="10" t="s">
        <v>20</v>
      </c>
      <c r="H2" s="10" t="s">
        <v>143</v>
      </c>
      <c r="I2" s="10" t="s">
        <v>144</v>
      </c>
      <c r="J2" s="10" t="s">
        <v>48</v>
      </c>
    </row>
    <row r="3" spans="1:10" x14ac:dyDescent="0.35">
      <c r="C3" s="11"/>
      <c r="D3" s="11"/>
      <c r="E3" s="11"/>
      <c r="H3" s="13"/>
      <c r="J3" s="13">
        <f>IF(ISBLANK(E3),,E3/I3)</f>
        <v>0</v>
      </c>
    </row>
    <row r="4" spans="1:10" x14ac:dyDescent="0.35">
      <c r="A4" s="3" t="s">
        <v>86</v>
      </c>
      <c r="B4" s="3" t="s">
        <v>113</v>
      </c>
      <c r="C4" s="11" t="s">
        <v>145</v>
      </c>
      <c r="D4" s="11" t="s">
        <v>146</v>
      </c>
      <c r="E4" s="11" t="s">
        <v>147</v>
      </c>
      <c r="F4" s="3">
        <v>36</v>
      </c>
      <c r="G4" s="13" t="s">
        <v>148</v>
      </c>
      <c r="H4" s="13">
        <v>7.6831839999999998</v>
      </c>
      <c r="I4" s="13">
        <v>8</v>
      </c>
      <c r="J4" s="13"/>
    </row>
    <row r="5" spans="1:10" x14ac:dyDescent="0.35">
      <c r="A5" s="3" t="s">
        <v>86</v>
      </c>
      <c r="B5" s="3" t="s">
        <v>133</v>
      </c>
      <c r="C5" s="11" t="s">
        <v>145</v>
      </c>
      <c r="D5" s="11" t="s">
        <v>146</v>
      </c>
      <c r="E5" s="11" t="s">
        <v>147</v>
      </c>
      <c r="F5" s="3">
        <v>36</v>
      </c>
      <c r="G5" s="13" t="s">
        <v>149</v>
      </c>
      <c r="H5" s="13">
        <v>0.93055600000000005</v>
      </c>
      <c r="I5" s="13">
        <v>1</v>
      </c>
      <c r="J5" s="13"/>
    </row>
    <row r="6" spans="1:10" x14ac:dyDescent="0.35">
      <c r="A6" s="3" t="s">
        <v>86</v>
      </c>
      <c r="B6" s="3" t="s">
        <v>125</v>
      </c>
      <c r="C6" s="11" t="s">
        <v>145</v>
      </c>
      <c r="D6" s="11" t="s">
        <v>146</v>
      </c>
      <c r="E6" s="11" t="s">
        <v>147</v>
      </c>
      <c r="F6" s="3">
        <v>36</v>
      </c>
      <c r="G6" s="13" t="s">
        <v>128</v>
      </c>
      <c r="H6" s="13">
        <v>16.187217</v>
      </c>
      <c r="I6" s="13">
        <v>16</v>
      </c>
      <c r="J6" s="13"/>
    </row>
    <row r="7" spans="1:10" x14ac:dyDescent="0.35">
      <c r="A7" s="3" t="s">
        <v>86</v>
      </c>
      <c r="B7" s="3" t="s">
        <v>133</v>
      </c>
      <c r="C7" s="11" t="s">
        <v>145</v>
      </c>
      <c r="D7" s="11" t="s">
        <v>146</v>
      </c>
      <c r="E7" s="11" t="s">
        <v>147</v>
      </c>
      <c r="F7" s="3">
        <v>36</v>
      </c>
      <c r="G7" s="13" t="s">
        <v>150</v>
      </c>
      <c r="H7" s="13">
        <v>16.184329999999999</v>
      </c>
      <c r="I7" s="13">
        <v>16</v>
      </c>
      <c r="J7" s="13"/>
    </row>
    <row r="8" spans="1:10" x14ac:dyDescent="0.35">
      <c r="A8" s="3" t="s">
        <v>86</v>
      </c>
      <c r="B8" s="3" t="s">
        <v>133</v>
      </c>
      <c r="C8" s="11" t="s">
        <v>145</v>
      </c>
      <c r="D8" s="11" t="s">
        <v>146</v>
      </c>
      <c r="E8" s="11" t="s">
        <v>147</v>
      </c>
      <c r="F8" s="3">
        <v>36</v>
      </c>
      <c r="G8" s="13" t="s">
        <v>151</v>
      </c>
      <c r="H8" s="13">
        <v>4.478974</v>
      </c>
      <c r="I8" s="13">
        <v>4</v>
      </c>
      <c r="J8" s="13"/>
    </row>
    <row r="9" spans="1:10" x14ac:dyDescent="0.35">
      <c r="A9" s="3" t="s">
        <v>86</v>
      </c>
      <c r="B9" s="3" t="s">
        <v>133</v>
      </c>
      <c r="C9" s="11" t="s">
        <v>145</v>
      </c>
      <c r="D9" s="11" t="s">
        <v>146</v>
      </c>
      <c r="E9" s="11" t="s">
        <v>147</v>
      </c>
      <c r="F9" s="3">
        <v>36</v>
      </c>
      <c r="G9" s="13" t="s">
        <v>152</v>
      </c>
      <c r="H9" s="13">
        <v>2.246721</v>
      </c>
      <c r="I9" s="13">
        <v>2</v>
      </c>
      <c r="J9" s="13"/>
    </row>
    <row r="10" spans="1:10" x14ac:dyDescent="0.35">
      <c r="A10" s="3">
        <v>6</v>
      </c>
      <c r="C10" s="11"/>
      <c r="D10" s="11"/>
      <c r="E10" s="11"/>
      <c r="H10" s="13">
        <v>47.710980999999997</v>
      </c>
      <c r="I10" s="13">
        <v>48</v>
      </c>
      <c r="J10" s="13"/>
    </row>
    <row r="11" spans="1:10" x14ac:dyDescent="0.35">
      <c r="C11" s="11"/>
      <c r="D11" s="11"/>
      <c r="E11" s="11"/>
      <c r="H11" s="13"/>
      <c r="I11" s="13"/>
      <c r="J11" s="13"/>
    </row>
    <row r="12" spans="1:10" x14ac:dyDescent="0.35">
      <c r="A12" s="3" t="s">
        <v>86</v>
      </c>
      <c r="B12" s="3" t="s">
        <v>113</v>
      </c>
      <c r="C12" s="11" t="s">
        <v>153</v>
      </c>
      <c r="D12" s="11" t="s">
        <v>154</v>
      </c>
      <c r="E12" s="11" t="s">
        <v>147</v>
      </c>
      <c r="F12" s="3">
        <v>36</v>
      </c>
      <c r="G12" s="13" t="s">
        <v>155</v>
      </c>
      <c r="H12" s="13">
        <v>10.129678</v>
      </c>
      <c r="I12" s="13">
        <v>10</v>
      </c>
      <c r="J12" s="13"/>
    </row>
    <row r="13" spans="1:10" x14ac:dyDescent="0.35">
      <c r="A13" s="3" t="s">
        <v>86</v>
      </c>
      <c r="B13" s="3" t="s">
        <v>113</v>
      </c>
      <c r="C13" s="11" t="s">
        <v>153</v>
      </c>
      <c r="D13" s="11" t="s">
        <v>154</v>
      </c>
      <c r="E13" s="11" t="s">
        <v>147</v>
      </c>
      <c r="F13" s="3">
        <v>36</v>
      </c>
      <c r="G13" s="13" t="s">
        <v>156</v>
      </c>
      <c r="H13" s="13">
        <v>3.3612440000000001</v>
      </c>
      <c r="I13" s="13">
        <v>3</v>
      </c>
      <c r="J13" s="13"/>
    </row>
    <row r="14" spans="1:10" x14ac:dyDescent="0.35">
      <c r="A14" s="3" t="s">
        <v>86</v>
      </c>
      <c r="B14" s="3" t="s">
        <v>113</v>
      </c>
      <c r="C14" s="11" t="s">
        <v>153</v>
      </c>
      <c r="D14" s="11" t="s">
        <v>154</v>
      </c>
      <c r="E14" s="11" t="s">
        <v>147</v>
      </c>
      <c r="F14" s="3">
        <v>36</v>
      </c>
      <c r="G14" s="13" t="s">
        <v>157</v>
      </c>
      <c r="H14" s="13">
        <v>0.80430199999999996</v>
      </c>
      <c r="I14" s="13">
        <v>1</v>
      </c>
      <c r="J14" s="13"/>
    </row>
    <row r="15" spans="1:10" x14ac:dyDescent="0.35">
      <c r="A15" s="3" t="s">
        <v>86</v>
      </c>
      <c r="B15" s="3" t="s">
        <v>113</v>
      </c>
      <c r="C15" s="11" t="s">
        <v>153</v>
      </c>
      <c r="D15" s="11" t="s">
        <v>154</v>
      </c>
      <c r="E15" s="11" t="s">
        <v>147</v>
      </c>
      <c r="F15" s="3">
        <v>36</v>
      </c>
      <c r="G15" s="13" t="s">
        <v>158</v>
      </c>
      <c r="H15" s="13">
        <v>1.3047960000000001</v>
      </c>
      <c r="I15" s="13">
        <v>1</v>
      </c>
      <c r="J15" s="13"/>
    </row>
    <row r="16" spans="1:10" x14ac:dyDescent="0.35">
      <c r="A16" s="3" t="s">
        <v>86</v>
      </c>
      <c r="B16" s="3" t="s">
        <v>113</v>
      </c>
      <c r="C16" s="11" t="s">
        <v>153</v>
      </c>
      <c r="D16" s="11" t="s">
        <v>154</v>
      </c>
      <c r="E16" s="11" t="s">
        <v>147</v>
      </c>
      <c r="F16" s="3">
        <v>36</v>
      </c>
      <c r="G16" s="13" t="s">
        <v>159</v>
      </c>
      <c r="H16" s="13">
        <v>3.1897060000000002</v>
      </c>
      <c r="I16" s="13">
        <v>3</v>
      </c>
      <c r="J16" s="13"/>
    </row>
    <row r="17" spans="1:10" x14ac:dyDescent="0.35">
      <c r="A17" s="3" t="s">
        <v>86</v>
      </c>
      <c r="B17" s="3" t="s">
        <v>113</v>
      </c>
      <c r="C17" s="11" t="s">
        <v>153</v>
      </c>
      <c r="D17" s="11" t="s">
        <v>154</v>
      </c>
      <c r="E17" s="11" t="s">
        <v>147</v>
      </c>
      <c r="F17" s="3">
        <v>36</v>
      </c>
      <c r="G17" s="13" t="s">
        <v>160</v>
      </c>
      <c r="H17" s="13">
        <v>12.657094000000001</v>
      </c>
      <c r="I17" s="13">
        <v>13</v>
      </c>
      <c r="J17" s="13"/>
    </row>
    <row r="18" spans="1:10" x14ac:dyDescent="0.35">
      <c r="A18" s="3" t="s">
        <v>86</v>
      </c>
      <c r="B18" s="3" t="s">
        <v>125</v>
      </c>
      <c r="C18" s="11" t="s">
        <v>153</v>
      </c>
      <c r="D18" s="11" t="s">
        <v>154</v>
      </c>
      <c r="E18" s="11" t="s">
        <v>147</v>
      </c>
      <c r="F18" s="3">
        <v>36</v>
      </c>
      <c r="G18" s="13" t="s">
        <v>126</v>
      </c>
      <c r="H18" s="13">
        <v>1.5755209999999999</v>
      </c>
      <c r="I18" s="13">
        <v>2</v>
      </c>
      <c r="J18" s="13"/>
    </row>
    <row r="19" spans="1:10" x14ac:dyDescent="0.35">
      <c r="A19" s="3" t="s">
        <v>86</v>
      </c>
      <c r="B19" s="3" t="s">
        <v>113</v>
      </c>
      <c r="C19" s="11" t="s">
        <v>153</v>
      </c>
      <c r="D19" s="11" t="s">
        <v>154</v>
      </c>
      <c r="E19" s="11" t="s">
        <v>147</v>
      </c>
      <c r="F19" s="3">
        <v>36</v>
      </c>
      <c r="G19" s="13" t="s">
        <v>161</v>
      </c>
      <c r="H19" s="13">
        <v>3.8826320000000001</v>
      </c>
      <c r="I19" s="13">
        <v>4</v>
      </c>
      <c r="J19" s="13"/>
    </row>
    <row r="20" spans="1:10" x14ac:dyDescent="0.35">
      <c r="A20" s="3">
        <v>8</v>
      </c>
      <c r="C20" s="11"/>
      <c r="D20" s="11"/>
      <c r="E20" s="11"/>
      <c r="H20" s="13">
        <v>36.904972000000001</v>
      </c>
      <c r="I20" s="13">
        <v>37</v>
      </c>
      <c r="J20" s="13"/>
    </row>
    <row r="21" spans="1:10" x14ac:dyDescent="0.35">
      <c r="C21" s="11"/>
      <c r="D21" s="11"/>
      <c r="E21" s="11"/>
      <c r="H21" s="13"/>
      <c r="I21" s="13"/>
      <c r="J21" s="13"/>
    </row>
    <row r="22" spans="1:10" x14ac:dyDescent="0.35">
      <c r="A22" s="3" t="s">
        <v>86</v>
      </c>
      <c r="B22" s="3" t="s">
        <v>130</v>
      </c>
      <c r="C22" s="11" t="s">
        <v>153</v>
      </c>
      <c r="D22" s="11" t="s">
        <v>162</v>
      </c>
      <c r="E22" s="11" t="s">
        <v>163</v>
      </c>
      <c r="F22" s="3">
        <v>40</v>
      </c>
      <c r="G22" s="13" t="s">
        <v>164</v>
      </c>
      <c r="H22" s="13">
        <v>4.2249129999999999</v>
      </c>
      <c r="I22" s="13">
        <v>4</v>
      </c>
      <c r="J22" s="13"/>
    </row>
    <row r="23" spans="1:10" x14ac:dyDescent="0.35">
      <c r="A23" s="3" t="s">
        <v>86</v>
      </c>
      <c r="B23" s="3" t="s">
        <v>130</v>
      </c>
      <c r="C23" s="11" t="s">
        <v>153</v>
      </c>
      <c r="D23" s="11" t="s">
        <v>162</v>
      </c>
      <c r="E23" s="11" t="s">
        <v>163</v>
      </c>
      <c r="F23" s="3">
        <v>40</v>
      </c>
      <c r="G23" s="13" t="s">
        <v>165</v>
      </c>
      <c r="H23" s="13">
        <v>1.7635529999999999</v>
      </c>
      <c r="I23" s="13">
        <v>2</v>
      </c>
      <c r="J23" s="13"/>
    </row>
    <row r="24" spans="1:10" x14ac:dyDescent="0.35">
      <c r="A24" s="3" t="s">
        <v>86</v>
      </c>
      <c r="B24" s="3" t="s">
        <v>130</v>
      </c>
      <c r="C24" s="11" t="s">
        <v>153</v>
      </c>
      <c r="D24" s="11" t="s">
        <v>162</v>
      </c>
      <c r="E24" s="11" t="s">
        <v>163</v>
      </c>
      <c r="F24" s="3">
        <v>40</v>
      </c>
      <c r="G24" s="13" t="s">
        <v>131</v>
      </c>
      <c r="H24" s="13">
        <v>1.0017689999999999</v>
      </c>
      <c r="I24" s="13">
        <v>1</v>
      </c>
      <c r="J24" s="13"/>
    </row>
    <row r="25" spans="1:10" x14ac:dyDescent="0.35">
      <c r="A25" s="3" t="s">
        <v>86</v>
      </c>
      <c r="B25" s="3" t="s">
        <v>130</v>
      </c>
      <c r="C25" s="11" t="s">
        <v>153</v>
      </c>
      <c r="D25" s="11" t="s">
        <v>162</v>
      </c>
      <c r="E25" s="11" t="s">
        <v>163</v>
      </c>
      <c r="F25" s="3">
        <v>40</v>
      </c>
      <c r="G25" s="13" t="s">
        <v>166</v>
      </c>
      <c r="H25" s="13">
        <v>5.2832470000000002</v>
      </c>
      <c r="I25" s="13">
        <v>5</v>
      </c>
      <c r="J25" s="13"/>
    </row>
    <row r="26" spans="1:10" x14ac:dyDescent="0.35">
      <c r="A26" s="3">
        <v>4</v>
      </c>
      <c r="C26" s="11"/>
      <c r="D26" s="11"/>
      <c r="E26" s="11"/>
      <c r="H26" s="13">
        <v>12.273481</v>
      </c>
      <c r="I26" s="13">
        <v>12</v>
      </c>
      <c r="J26" s="13"/>
    </row>
    <row r="27" spans="1:10" x14ac:dyDescent="0.35">
      <c r="A27" s="3" t="s">
        <v>167</v>
      </c>
      <c r="C27" s="11"/>
      <c r="D27" s="11"/>
      <c r="E27" s="11"/>
      <c r="H27" s="13">
        <v>96.889433999999994</v>
      </c>
      <c r="I27" s="13">
        <v>97</v>
      </c>
      <c r="J27" s="13"/>
    </row>
    <row r="28" spans="1:10" x14ac:dyDescent="0.35">
      <c r="C28" s="11"/>
      <c r="D28" s="11"/>
      <c r="E28" s="11"/>
      <c r="H28" s="13"/>
      <c r="I28" s="13"/>
      <c r="J28" s="13"/>
    </row>
    <row r="29" spans="1:10" x14ac:dyDescent="0.35">
      <c r="F29" s="13"/>
      <c r="H29" s="13"/>
      <c r="I29" s="13"/>
      <c r="J29" s="13"/>
    </row>
    <row r="30" spans="1:10" x14ac:dyDescent="0.35">
      <c r="F30" s="13"/>
      <c r="H30" s="13"/>
      <c r="I30" s="13"/>
      <c r="J30" s="13"/>
    </row>
    <row r="31" spans="1:10" x14ac:dyDescent="0.35">
      <c r="C31" s="13"/>
      <c r="F31" s="13"/>
      <c r="H31" s="13"/>
      <c r="I31" s="13"/>
      <c r="J31" s="13"/>
    </row>
    <row r="32" spans="1:10" x14ac:dyDescent="0.35">
      <c r="F32" s="13"/>
      <c r="H32" s="13"/>
      <c r="I32" s="13"/>
      <c r="J32" s="13"/>
    </row>
    <row r="33" spans="3:10" x14ac:dyDescent="0.35">
      <c r="F33" s="13"/>
      <c r="H33" s="13"/>
      <c r="I33" s="13"/>
      <c r="J33" s="13"/>
    </row>
    <row r="34" spans="3:10" x14ac:dyDescent="0.35">
      <c r="F34" s="13"/>
      <c r="H34" s="13"/>
      <c r="I34" s="13"/>
      <c r="J34" s="13"/>
    </row>
    <row r="35" spans="3:10" x14ac:dyDescent="0.35">
      <c r="C35" s="11"/>
      <c r="D35" s="11"/>
      <c r="F35" s="13"/>
      <c r="H35" s="13"/>
      <c r="I35" s="13"/>
      <c r="J35" s="13"/>
    </row>
    <row r="36" spans="3:10" x14ac:dyDescent="0.35">
      <c r="C36" s="11"/>
      <c r="D36" s="11"/>
      <c r="F36" s="13"/>
      <c r="H36" s="13"/>
      <c r="I36" s="13"/>
      <c r="J36" s="13"/>
    </row>
    <row r="37" spans="3:10" x14ac:dyDescent="0.35">
      <c r="C37" s="11"/>
      <c r="D37" s="11"/>
      <c r="F37" s="13"/>
      <c r="H37" s="13"/>
      <c r="I37" s="13"/>
      <c r="J37" s="13"/>
    </row>
    <row r="38" spans="3:10" x14ac:dyDescent="0.35">
      <c r="C38" s="11"/>
      <c r="D38" s="11"/>
      <c r="F38" s="13"/>
      <c r="H38" s="13"/>
      <c r="I38" s="13"/>
      <c r="J38" s="13"/>
    </row>
    <row r="39" spans="3:10" x14ac:dyDescent="0.35">
      <c r="C39" s="11"/>
      <c r="D39" s="11"/>
      <c r="F39" s="13"/>
      <c r="H39" s="13"/>
      <c r="I39" s="13"/>
      <c r="J39" s="13"/>
    </row>
    <row r="40" spans="3:10" x14ac:dyDescent="0.35">
      <c r="F40" s="13"/>
      <c r="H40" s="13"/>
      <c r="I40" s="13"/>
      <c r="J40" s="13"/>
    </row>
    <row r="41" spans="3:10" x14ac:dyDescent="0.35">
      <c r="F41" s="13"/>
      <c r="H41" s="13"/>
      <c r="I41" s="13"/>
      <c r="J41" s="13"/>
    </row>
    <row r="42" spans="3:10" x14ac:dyDescent="0.35">
      <c r="F42" s="13"/>
      <c r="H42" s="13"/>
      <c r="I42" s="13"/>
      <c r="J42" s="13"/>
    </row>
    <row r="43" spans="3:10" x14ac:dyDescent="0.35">
      <c r="F43" s="13"/>
      <c r="H43" s="13"/>
      <c r="I43" s="13"/>
      <c r="J43" s="13"/>
    </row>
    <row r="44" spans="3:10" x14ac:dyDescent="0.35">
      <c r="F44" s="13"/>
      <c r="H44" s="13"/>
      <c r="I44" s="13"/>
      <c r="J44" s="13"/>
    </row>
    <row r="45" spans="3:10" x14ac:dyDescent="0.35">
      <c r="F45" s="13"/>
      <c r="H45" s="13"/>
      <c r="I45" s="13"/>
      <c r="J45" s="13"/>
    </row>
    <row r="46" spans="3:10" x14ac:dyDescent="0.35">
      <c r="F46" s="13"/>
      <c r="H46" s="13"/>
      <c r="I46" s="13"/>
      <c r="J46" s="13"/>
    </row>
    <row r="47" spans="3:10" x14ac:dyDescent="0.35">
      <c r="F47" s="13"/>
      <c r="H47" s="13"/>
      <c r="I47" s="13"/>
      <c r="J47" s="13"/>
    </row>
    <row r="48" spans="3:10" x14ac:dyDescent="0.35">
      <c r="F48" s="13"/>
      <c r="H48" s="13"/>
      <c r="I48" s="13"/>
      <c r="J48" s="13"/>
    </row>
    <row r="49" spans="6:10" x14ac:dyDescent="0.35">
      <c r="F49" s="13"/>
      <c r="H49" s="13"/>
      <c r="I49" s="13"/>
      <c r="J49" s="13"/>
    </row>
    <row r="50" spans="6:10" x14ac:dyDescent="0.35">
      <c r="F50" s="13"/>
      <c r="H50" s="13"/>
      <c r="I50" s="13"/>
      <c r="J50" s="13"/>
    </row>
    <row r="51" spans="6:10" s="14" customFormat="1" x14ac:dyDescent="0.35"/>
  </sheetData>
  <mergeCells count="1">
    <mergeCell ref="A1:J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5D830-5187-4861-A13E-6626B05B5670}">
  <sheetPr codeName="Sheet15"/>
  <dimension ref="A1:E15"/>
  <sheetViews>
    <sheetView workbookViewId="0">
      <selection sqref="A1:E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40" style="3" bestFit="1" customWidth="1"/>
    <col min="4" max="4" width="19.453125" style="3" bestFit="1" customWidth="1"/>
    <col min="5" max="5" width="38.1796875" style="3" customWidth="1"/>
    <col min="6" max="16384" width="9.1796875" style="3"/>
  </cols>
  <sheetData>
    <row r="1" spans="1:5" ht="23" x14ac:dyDescent="0.5">
      <c r="A1" s="20" t="s">
        <v>47</v>
      </c>
      <c r="B1" s="20"/>
      <c r="C1" s="20"/>
      <c r="D1" s="20"/>
      <c r="E1" s="20"/>
    </row>
    <row r="2" spans="1:5" s="1" customFormat="1" ht="20.5" x14ac:dyDescent="0.45">
      <c r="A2" s="1" t="s">
        <v>13</v>
      </c>
      <c r="B2" s="1" t="s">
        <v>17</v>
      </c>
      <c r="C2" s="1" t="s">
        <v>20</v>
      </c>
      <c r="D2" s="1" t="s">
        <v>84</v>
      </c>
      <c r="E2" s="1" t="s">
        <v>49</v>
      </c>
    </row>
    <row r="4" spans="1:5" x14ac:dyDescent="0.35">
      <c r="A4" s="3" t="s">
        <v>85</v>
      </c>
      <c r="B4" s="3" t="s">
        <v>86</v>
      </c>
      <c r="C4" s="3" t="s">
        <v>87</v>
      </c>
      <c r="D4" s="3">
        <v>7.9554130000000001</v>
      </c>
    </row>
    <row r="5" spans="1:5" x14ac:dyDescent="0.35">
      <c r="A5" s="3" t="s">
        <v>85</v>
      </c>
      <c r="B5" s="3" t="s">
        <v>86</v>
      </c>
      <c r="C5" s="3" t="s">
        <v>88</v>
      </c>
      <c r="D5" s="3">
        <v>87.260360000000006</v>
      </c>
    </row>
    <row r="6" spans="1:5" x14ac:dyDescent="0.35">
      <c r="A6" s="3" t="s">
        <v>85</v>
      </c>
      <c r="B6" s="3" t="s">
        <v>86</v>
      </c>
      <c r="C6" s="3" t="s">
        <v>89</v>
      </c>
      <c r="D6" s="3">
        <v>5.8248689999999996</v>
      </c>
    </row>
    <row r="7" spans="1:5" x14ac:dyDescent="0.35">
      <c r="A7" s="3" t="s">
        <v>85</v>
      </c>
      <c r="B7" s="3" t="s">
        <v>86</v>
      </c>
      <c r="C7" s="3" t="s">
        <v>90</v>
      </c>
      <c r="D7" s="3">
        <v>14.209543</v>
      </c>
    </row>
    <row r="8" spans="1:5" x14ac:dyDescent="0.35">
      <c r="A8" s="3" t="s">
        <v>85</v>
      </c>
      <c r="B8" s="3" t="s">
        <v>86</v>
      </c>
      <c r="C8" s="3" t="s">
        <v>91</v>
      </c>
      <c r="D8" s="3">
        <v>0.10853500000000001</v>
      </c>
    </row>
    <row r="9" spans="1:5" x14ac:dyDescent="0.35">
      <c r="A9" s="3" t="s">
        <v>85</v>
      </c>
      <c r="B9" s="3" t="s">
        <v>86</v>
      </c>
      <c r="C9" s="3" t="s">
        <v>91</v>
      </c>
      <c r="D9" s="3">
        <v>0.10853500000000001</v>
      </c>
    </row>
    <row r="10" spans="1:5" x14ac:dyDescent="0.35">
      <c r="A10" s="3" t="s">
        <v>85</v>
      </c>
      <c r="B10" s="3" t="s">
        <v>86</v>
      </c>
      <c r="C10" s="3" t="s">
        <v>92</v>
      </c>
      <c r="D10" s="3">
        <v>9.7983000000000001E-2</v>
      </c>
    </row>
    <row r="11" spans="1:5" x14ac:dyDescent="0.35">
      <c r="A11" s="3" t="s">
        <v>85</v>
      </c>
      <c r="B11" s="3" t="s">
        <v>86</v>
      </c>
      <c r="C11" s="3" t="s">
        <v>92</v>
      </c>
      <c r="D11" s="3">
        <v>9.7983000000000001E-2</v>
      </c>
    </row>
    <row r="12" spans="1:5" x14ac:dyDescent="0.35">
      <c r="A12" s="3" t="s">
        <v>93</v>
      </c>
      <c r="B12" s="3" t="s">
        <v>86</v>
      </c>
      <c r="C12" s="3" t="s">
        <v>94</v>
      </c>
      <c r="D12" s="3">
        <v>9.4543560000000006</v>
      </c>
    </row>
    <row r="13" spans="1:5" x14ac:dyDescent="0.35">
      <c r="A13" s="3" t="s">
        <v>93</v>
      </c>
      <c r="B13" s="3" t="s">
        <v>86</v>
      </c>
      <c r="C13" s="3" t="s">
        <v>95</v>
      </c>
      <c r="D13" s="3">
        <v>4.0658000000000003</v>
      </c>
    </row>
    <row r="14" spans="1:5" x14ac:dyDescent="0.35">
      <c r="A14" s="3" t="s">
        <v>93</v>
      </c>
      <c r="B14" s="3" t="s">
        <v>86</v>
      </c>
      <c r="C14" s="3" t="s">
        <v>96</v>
      </c>
      <c r="D14" s="3">
        <v>1.772734</v>
      </c>
    </row>
    <row r="15" spans="1:5" x14ac:dyDescent="0.35">
      <c r="A15" s="3" t="s">
        <v>97</v>
      </c>
      <c r="C15" s="3" t="s">
        <v>98</v>
      </c>
      <c r="D15" s="3">
        <v>130.956109</v>
      </c>
    </row>
  </sheetData>
  <mergeCells count="1">
    <mergeCell ref="A1:E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3935-4D27-4BC6-BFD1-FF541DDA45A2}">
  <sheetPr codeName="Sheet16"/>
  <dimension ref="A1:F10"/>
  <sheetViews>
    <sheetView workbookViewId="0">
      <selection sqref="A1:F1"/>
    </sheetView>
  </sheetViews>
  <sheetFormatPr defaultColWidth="9.1796875" defaultRowHeight="14.5" x14ac:dyDescent="0.35"/>
  <cols>
    <col min="1" max="1" width="52.7265625" style="3" bestFit="1" customWidth="1"/>
    <col min="2" max="2" width="18.453125" style="3" bestFit="1" customWidth="1"/>
    <col min="3" max="3" width="30.26953125" style="3" bestFit="1" customWidth="1"/>
    <col min="4" max="4" width="10" style="3" bestFit="1" customWidth="1"/>
    <col min="5" max="5" width="18.7265625" style="5" bestFit="1" customWidth="1"/>
    <col min="6" max="6" width="10.1796875" style="3" customWidth="1"/>
    <col min="7" max="16384" width="9.1796875" style="3"/>
  </cols>
  <sheetData>
    <row r="1" spans="1:6" ht="23" x14ac:dyDescent="0.5">
      <c r="A1" s="20" t="s">
        <v>11</v>
      </c>
      <c r="B1" s="20"/>
      <c r="C1" s="20"/>
      <c r="D1" s="20"/>
      <c r="E1" s="20"/>
      <c r="F1" s="20"/>
    </row>
    <row r="2" spans="1:6" s="1" customFormat="1" ht="20.5" x14ac:dyDescent="0.45">
      <c r="A2" s="1" t="s">
        <v>13</v>
      </c>
      <c r="B2" s="1" t="s">
        <v>14</v>
      </c>
      <c r="C2" s="1" t="s">
        <v>17</v>
      </c>
      <c r="D2" s="1" t="s">
        <v>18</v>
      </c>
      <c r="E2" s="1" t="s">
        <v>19</v>
      </c>
      <c r="F2" s="1" t="s">
        <v>16</v>
      </c>
    </row>
    <row r="4" spans="1:6" x14ac:dyDescent="0.35">
      <c r="A4" s="3" t="s">
        <v>112</v>
      </c>
      <c r="B4" s="3" t="s">
        <v>113</v>
      </c>
      <c r="C4" s="3" t="s">
        <v>122</v>
      </c>
      <c r="D4" s="3" t="s">
        <v>123</v>
      </c>
      <c r="E4" s="5">
        <v>15.47</v>
      </c>
      <c r="F4" s="3">
        <v>8</v>
      </c>
    </row>
    <row r="5" spans="1:6" x14ac:dyDescent="0.35">
      <c r="A5" s="3" t="s">
        <v>124</v>
      </c>
      <c r="B5" s="3" t="s">
        <v>125</v>
      </c>
      <c r="C5" s="3" t="s">
        <v>122</v>
      </c>
      <c r="D5" s="3" t="s">
        <v>126</v>
      </c>
      <c r="E5" s="5">
        <v>0.56999999999999995</v>
      </c>
      <c r="F5" s="3">
        <v>1</v>
      </c>
    </row>
    <row r="6" spans="1:6" x14ac:dyDescent="0.35">
      <c r="A6" s="3" t="s">
        <v>127</v>
      </c>
      <c r="B6" s="3" t="s">
        <v>125</v>
      </c>
      <c r="C6" s="3" t="s">
        <v>122</v>
      </c>
      <c r="D6" s="3" t="s">
        <v>128</v>
      </c>
      <c r="E6" s="5">
        <v>5.83</v>
      </c>
      <c r="F6" s="3">
        <v>1</v>
      </c>
    </row>
    <row r="7" spans="1:6" x14ac:dyDescent="0.35">
      <c r="A7" s="3" t="s">
        <v>129</v>
      </c>
      <c r="B7" s="3" t="s">
        <v>130</v>
      </c>
      <c r="C7" s="3" t="s">
        <v>122</v>
      </c>
      <c r="D7" s="3" t="s">
        <v>131</v>
      </c>
      <c r="E7" s="5">
        <v>0.4</v>
      </c>
      <c r="F7" s="3">
        <v>1</v>
      </c>
    </row>
    <row r="8" spans="1:6" x14ac:dyDescent="0.35">
      <c r="A8" s="3" t="s">
        <v>132</v>
      </c>
      <c r="B8" s="3" t="s">
        <v>133</v>
      </c>
      <c r="C8" s="3" t="s">
        <v>122</v>
      </c>
      <c r="D8" s="3" t="s">
        <v>134</v>
      </c>
      <c r="E8" s="5">
        <v>8.58</v>
      </c>
      <c r="F8" s="3">
        <v>4</v>
      </c>
    </row>
    <row r="9" spans="1:6" x14ac:dyDescent="0.35">
      <c r="A9" s="3" t="s">
        <v>135</v>
      </c>
      <c r="B9" s="3" t="s">
        <v>130</v>
      </c>
      <c r="C9" s="3" t="s">
        <v>122</v>
      </c>
      <c r="D9" s="3" t="s">
        <v>136</v>
      </c>
      <c r="E9" s="5">
        <v>4.51</v>
      </c>
      <c r="F9" s="3">
        <v>3</v>
      </c>
    </row>
    <row r="10" spans="1:6" x14ac:dyDescent="0.35">
      <c r="A10" s="3" t="s">
        <v>137</v>
      </c>
      <c r="D10" s="3" t="s">
        <v>138</v>
      </c>
      <c r="E10" s="5">
        <v>35.36</v>
      </c>
      <c r="F10" s="3">
        <v>18</v>
      </c>
    </row>
  </sheetData>
  <mergeCells count="1">
    <mergeCell ref="A1:F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1EF9B-CE7E-4073-8346-F99741F72058}">
  <sheetPr codeName="Sheet17"/>
  <dimension ref="A1:G7"/>
  <sheetViews>
    <sheetView tabSelected="1" workbookViewId="0">
      <selection sqref="A1:G1"/>
    </sheetView>
  </sheetViews>
  <sheetFormatPr defaultColWidth="9.1796875" defaultRowHeight="14.5" x14ac:dyDescent="0.35"/>
  <cols>
    <col min="1" max="1" width="52.7265625" style="3" bestFit="1" customWidth="1"/>
    <col min="2" max="2" width="23" style="3" bestFit="1" customWidth="1"/>
    <col min="3" max="3" width="12.1796875" style="5" bestFit="1" customWidth="1"/>
    <col min="4" max="4" width="10.7265625" style="3" customWidth="1"/>
    <col min="5" max="5" width="23.54296875" style="3" customWidth="1"/>
    <col min="6" max="6" width="31.54296875" style="3" customWidth="1"/>
    <col min="7" max="7" width="50.54296875" style="3" customWidth="1"/>
    <col min="8" max="16384" width="9.1796875" style="3"/>
  </cols>
  <sheetData>
    <row r="1" spans="1:7" ht="23" x14ac:dyDescent="0.5">
      <c r="A1" s="20" t="s">
        <v>12</v>
      </c>
      <c r="B1" s="20"/>
      <c r="C1" s="20"/>
      <c r="D1" s="20"/>
      <c r="E1" s="20"/>
      <c r="F1" s="20"/>
      <c r="G1" s="20"/>
    </row>
    <row r="2" spans="1:7" s="1" customFormat="1" ht="20.5" x14ac:dyDescent="0.45">
      <c r="A2" s="12" t="s">
        <v>13</v>
      </c>
      <c r="B2" s="12" t="s">
        <v>14</v>
      </c>
      <c r="C2" s="12" t="s">
        <v>15</v>
      </c>
      <c r="D2" s="12" t="s">
        <v>16</v>
      </c>
      <c r="E2" s="12" t="s">
        <v>40</v>
      </c>
      <c r="F2" s="12" t="s">
        <v>41</v>
      </c>
      <c r="G2" s="16" t="s">
        <v>50</v>
      </c>
    </row>
    <row r="4" spans="1:7" x14ac:dyDescent="0.35">
      <c r="A4" s="3" t="s">
        <v>108</v>
      </c>
      <c r="B4" s="3" t="s">
        <v>109</v>
      </c>
      <c r="C4" s="5" t="s">
        <v>110</v>
      </c>
      <c r="D4" s="3">
        <v>3</v>
      </c>
      <c r="E4" s="3">
        <v>2</v>
      </c>
      <c r="F4" s="3" t="s">
        <v>111</v>
      </c>
    </row>
    <row r="5" spans="1:7" x14ac:dyDescent="0.35">
      <c r="A5" s="3" t="s">
        <v>112</v>
      </c>
      <c r="B5" s="3" t="s">
        <v>113</v>
      </c>
      <c r="C5" s="5" t="s">
        <v>114</v>
      </c>
      <c r="D5" s="3">
        <v>8</v>
      </c>
      <c r="E5" s="3">
        <v>1</v>
      </c>
      <c r="F5" s="3" t="s">
        <v>114</v>
      </c>
    </row>
    <row r="6" spans="1:7" x14ac:dyDescent="0.35">
      <c r="A6" s="3" t="s">
        <v>115</v>
      </c>
      <c r="B6" s="3" t="s">
        <v>116</v>
      </c>
      <c r="C6" s="5" t="s">
        <v>117</v>
      </c>
      <c r="D6" s="3">
        <v>29</v>
      </c>
      <c r="E6" s="3">
        <v>2</v>
      </c>
      <c r="F6" s="3" t="s">
        <v>118</v>
      </c>
    </row>
    <row r="7" spans="1:7" x14ac:dyDescent="0.35">
      <c r="A7" s="3" t="s">
        <v>119</v>
      </c>
      <c r="C7" s="5" t="s">
        <v>120</v>
      </c>
      <c r="F7" s="3" t="s">
        <v>121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00-CoverPage</vt:lpstr>
      <vt:lpstr>01.EST_Doors</vt:lpstr>
      <vt:lpstr>02.EST_Windows</vt:lpstr>
      <vt:lpstr>03.EST_STUD_Wall Types</vt:lpstr>
      <vt:lpstr>04a.Foundation</vt:lpstr>
      <vt:lpstr>04b.Footing</vt:lpstr>
      <vt:lpstr>05.EST_DryWall</vt:lpstr>
      <vt:lpstr>06A.Trim-Doors-Exterior</vt:lpstr>
      <vt:lpstr>06B.Trim-Doors-Interior</vt:lpstr>
      <vt:lpstr>06C.Trim-Doors-CaseOpening</vt:lpstr>
      <vt:lpstr>06D.Trim-Windows</vt:lpstr>
      <vt:lpstr>06E.Trim-CornerBoard</vt:lpstr>
      <vt:lpstr>07.Roofing</vt:lpstr>
      <vt:lpstr>08a.OSB_Wall</vt:lpstr>
      <vt:lpstr>08b.OSB_Roof</vt:lpstr>
      <vt:lpstr>09.Siding</vt:lpstr>
      <vt:lpstr>10.BaseBoard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Reddy</dc:creator>
  <cp:lastModifiedBy>Shiva Reddy</cp:lastModifiedBy>
  <dcterms:created xsi:type="dcterms:W3CDTF">2015-06-05T18:17:20Z</dcterms:created>
  <dcterms:modified xsi:type="dcterms:W3CDTF">2022-08-19T20:22:28Z</dcterms:modified>
</cp:coreProperties>
</file>